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hase 1 – 40 Users" sheetId="2" state="visible" r:id="rId4"/>
    <sheet name="Scale Plan – 40 to 400" sheetId="3" state="visible" r:id="rId5"/>
    <sheet name="Spend Alerts &amp; Control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<sst xmlns="http://schemas.openxmlformats.org/spreadsheetml/2006/main" count="271" uniqueCount="204">
  <si>
    <t xml:space="preserve">Cursor Enterprise – Budget Assumptions</t>
  </si>
  <si>
    <t xml:space="preserve">Seat Structure</t>
  </si>
  <si>
    <t xml:space="preserve">Input</t>
  </si>
  <si>
    <t xml:space="preserve">Value</t>
  </si>
  <si>
    <t xml:space="preserve">Unit</t>
  </si>
  <si>
    <t xml:space="preserve">Note</t>
  </si>
  <si>
    <t xml:space="preserve">Total users</t>
  </si>
  <si>
    <t xml:space="preserve">Users</t>
  </si>
  <si>
    <t xml:space="preserve">Phase 1 – Q2 2026</t>
  </si>
  <si>
    <t xml:space="preserve">CLS-NET users</t>
  </si>
  <si>
    <t xml:space="preserve">50% of total</t>
  </si>
  <si>
    <t xml:space="preserve">CLS-DIRECT users</t>
  </si>
  <si>
    <t xml:space="preserve">Premium seats (total)</t>
  </si>
  <si>
    <t xml:space="preserve">5 per group (heavy agent users)</t>
  </si>
  <si>
    <t xml:space="preserve">Standard seats (total)</t>
  </si>
  <si>
    <t xml:space="preserve">15 per group (lighter usage)</t>
  </si>
  <si>
    <t xml:space="preserve">Standard seat price</t>
  </si>
  <si>
    <t xml:space="preserve">$/user/month</t>
  </si>
  <si>
    <t xml:space="preserve">Source: Cursor pricing sheet</t>
  </si>
  <si>
    <t xml:space="preserve">Premium seat price</t>
  </si>
  <si>
    <t xml:space="preserve">5× Standard included usage</t>
  </si>
  <si>
    <t xml:space="preserve">API Spend Tiers (model token budget, on top of seat cost)</t>
  </si>
  <si>
    <t xml:space="preserve">$75 tier – Standard API budget/user</t>
  </si>
  <si>
    <t xml:space="preserve">Lighter usage profile</t>
  </si>
  <si>
    <t xml:space="preserve">$75 tier – Premium API budget/user</t>
  </si>
  <si>
    <t xml:space="preserve">Same rate; more headroom via seat</t>
  </si>
  <si>
    <t xml:space="preserve">$125 tier – Standard API budget/user</t>
  </si>
  <si>
    <t xml:space="preserve">Upgrade scenario</t>
  </si>
  <si>
    <t xml:space="preserve">$125 tier – Premium API budget/user</t>
  </si>
  <si>
    <t xml:space="preserve">Recommended for power users</t>
  </si>
  <si>
    <t xml:space="preserve">Cursor Token Rate (third-party)</t>
  </si>
  <si>
    <t xml:space="preserve">$/M tokens</t>
  </si>
  <si>
    <t xml:space="preserve">Surcharge on non-Cursor models (Claude, GPT, Gemini)</t>
  </si>
  <si>
    <t xml:space="preserve">Phase 1 – 40 Users (Q2 2026)  |  Budget Controls</t>
  </si>
  <si>
    <t xml:space="preserve">A. Seat Costs</t>
  </si>
  <si>
    <t xml:space="preserve">Item</t>
  </si>
  <si>
    <t xml:space="preserve">CLS-NET</t>
  </si>
  <si>
    <t xml:space="preserve">CLS-DIRECT</t>
  </si>
  <si>
    <t xml:space="preserve">Total</t>
  </si>
  <si>
    <t xml:space="preserve">Annual</t>
  </si>
  <si>
    <t xml:space="preserve">Standard seats (count)</t>
  </si>
  <si>
    <t xml:space="preserve">Premium seats (count)</t>
  </si>
  <si>
    <t xml:space="preserve">Standard seat cost / month</t>
  </si>
  <si>
    <t xml:space="preserve">Premium seat cost / month</t>
  </si>
  <si>
    <t xml:space="preserve">Total seat cost / month</t>
  </si>
  <si>
    <t xml:space="preserve">B. API Spend Budget (model token consumption, on top of seat cost)</t>
  </si>
  <si>
    <t xml:space="preserve">$75 Tier / month</t>
  </si>
  <si>
    <t xml:space="preserve">$125 Tier / month</t>
  </si>
  <si>
    <t xml:space="preserve">$75 Tier / year</t>
  </si>
  <si>
    <t xml:space="preserve">$125 Tier / year</t>
  </si>
  <si>
    <t xml:space="preserve">Standard users API budget (30 users)</t>
  </si>
  <si>
    <t xml:space="preserve">Premium users API budget (10 users)</t>
  </si>
  <si>
    <t xml:space="preserve">Total monthly API pool</t>
  </si>
  <si>
    <t xml:space="preserve">Per-group pool — CLS-NET &amp; CLS-DIRECT each</t>
  </si>
  <si>
    <t xml:space="preserve">C. Total Cost of Ownership — Phase 1 (1 Year, per pricing sheet)</t>
  </si>
  <si>
    <t xml:space="preserve">Component</t>
  </si>
  <si>
    <t xml:space="preserve">$75 Tier</t>
  </si>
  <si>
    <t xml:space="preserve">$125 Tier</t>
  </si>
  <si>
    <t xml:space="preserve">Annual seat cost (40 × $40 × 12)</t>
  </si>
  <si>
    <t xml:space="preserve">Same for both tiers</t>
  </si>
  <si>
    <t xml:space="preserve">Annual API commitment</t>
  </si>
  <si>
    <t xml:space="preserve">30 Std + 10 Prem × tier rate</t>
  </si>
  <si>
    <t xml:space="preserve">Seat discount — Phase 1</t>
  </si>
  <si>
    <t xml:space="preserve">0% at 40 users (per pricing sheet)</t>
  </si>
  <si>
    <t xml:space="preserve">API discount — Phase 1</t>
  </si>
  <si>
    <t xml:space="preserve">TOTAL Annual Cost</t>
  </si>
  <si>
    <t xml:space="preserve">✓ Matches pricing sheet: $55,200 / $79,200</t>
  </si>
  <si>
    <t xml:space="preserve">D. Spend Limits (Monthly, per User / Group)</t>
  </si>
  <si>
    <t xml:space="preserve">User / Group type</t>
  </si>
  <si>
    <t xml:space="preserve">$75 Tier ($)</t>
  </si>
  <si>
    <t xml:space="preserve">$125 Tier ($)</t>
  </si>
  <si>
    <t xml:space="preserve">Rule</t>
  </si>
  <si>
    <t xml:space="preserve">Action if breached</t>
  </si>
  <si>
    <t xml:space="preserve">Team default (unassigned users)</t>
  </si>
  <si>
    <t xml:space="preserve">Safety net — always the lowest limit</t>
  </si>
  <si>
    <t xml:space="preserve">Usage stops; admin notified</t>
  </si>
  <si>
    <t xml:space="preserve">Standard seat member</t>
  </si>
  <si>
    <t xml:space="preserve">1× tier API budget</t>
  </si>
  <si>
    <t xml:space="preserve">Usage stops until cycle reset</t>
  </si>
  <si>
    <t xml:space="preserve">Premium seat member</t>
  </si>
  <si>
    <t xml:space="preserve">2× Standard limit</t>
  </si>
  <si>
    <t xml:space="preserve">Per-group pool — CLS-NET</t>
  </si>
  <si>
    <t xml:space="preserve">Sum of group members' limits</t>
  </si>
  <si>
    <t xml:space="preserve">Admin review; raise or restrict</t>
  </si>
  <si>
    <t xml:space="preserve">Per-group pool — CLS-DIRECT</t>
  </si>
  <si>
    <t xml:space="preserve">Team-wide monthly pool</t>
  </si>
  <si>
    <t xml:space="preserve">Total API commitment ÷ 12</t>
  </si>
  <si>
    <t xml:space="preserve">Escalate to Finance</t>
  </si>
  <si>
    <t xml:space="preserve">Cursor Enterprise – Scale Plan: 40 → 400 Users</t>
  </si>
  <si>
    <t xml:space="preserve">Phase Summary</t>
  </si>
  <si>
    <t xml:space="preserve">Phase</t>
  </si>
  <si>
    <t xml:space="preserve">Quarter</t>
  </si>
  <si>
    <t xml:space="preserve">Seats</t>
  </si>
  <si>
    <t xml:space="preserve">Std seats</t>
  </si>
  <si>
    <t xml:space="preserve">Prem seats</t>
  </si>
  <si>
    <t xml:space="preserve">Monthly seat cost ($)</t>
  </si>
  <si>
    <t xml:space="preserve">Annual seat cost ($)</t>
  </si>
  <si>
    <t xml:space="preserve">API annual $75 tier ($)</t>
  </si>
  <si>
    <t xml:space="preserve">API annual $125 tier ($)</t>
  </si>
  <si>
    <t xml:space="preserve">Seat disc %</t>
  </si>
  <si>
    <t xml:space="preserve">Phase 1</t>
  </si>
  <si>
    <t xml:space="preserve">Q2 2026</t>
  </si>
  <si>
    <t xml:space="preserve">Phase 2</t>
  </si>
  <si>
    <t xml:space="preserve">Q3 2026</t>
  </si>
  <si>
    <t xml:space="preserve">Phase 3</t>
  </si>
  <si>
    <t xml:space="preserve">Q4 2026</t>
  </si>
  <si>
    <t xml:space="preserve">Phase 4</t>
  </si>
  <si>
    <t xml:space="preserve">Q1 2027</t>
  </si>
  <si>
    <t xml:space="preserve">Total Cost of Ownership (Seat + API, after discounts)</t>
  </si>
  <si>
    <t xml:space="preserve">Seat cost (post-disc)</t>
  </si>
  <si>
    <t xml:space="preserve">API cost $75</t>
  </si>
  <si>
    <t xml:space="preserve">API cost $125</t>
  </si>
  <si>
    <t xml:space="preserve">TOTAL $75 tier</t>
  </si>
  <si>
    <t xml:space="preserve">TOTAL $125 tier</t>
  </si>
  <si>
    <t xml:space="preserve">Δ $125 vs $75</t>
  </si>
  <si>
    <t xml:space="preserve">Recommended tier</t>
  </si>
  <si>
    <t xml:space="preserve">$75 – start here; review after 60 days</t>
  </si>
  <si>
    <t xml:space="preserve">Review: upgrade power users to $125</t>
  </si>
  <si>
    <t xml:space="preserve">$125 recommended for Premium users</t>
  </si>
  <si>
    <t xml:space="preserve">$125 – seat discount covers seat cost</t>
  </si>
  <si>
    <t xml:space="preserve">Discount Assumptions (from pricing sheet — edit cells in blue)</t>
  </si>
  <si>
    <t xml:space="preserve">Seat disc $75</t>
  </si>
  <si>
    <t xml:space="preserve">Seat disc $125</t>
  </si>
  <si>
    <t xml:space="preserve">API disc $75</t>
  </si>
  <si>
    <t xml:space="preserve">API disc $125</t>
  </si>
  <si>
    <t xml:space="preserve">Source</t>
  </si>
  <si>
    <t xml:space="preserve">Source: pricing sheet email</t>
  </si>
  <si>
    <t xml:space="preserve">Cursor Enterprise – Spend Alerts &amp; Governance Controls</t>
  </si>
  <si>
    <t xml:space="preserve">Spend Alert Thresholds (email notifications — do not stop usage)</t>
  </si>
  <si>
    <t xml:space="preserve">Alert</t>
  </si>
  <si>
    <t xml:space="preserve">Threshold</t>
  </si>
  <si>
    <t xml:space="preserve">$75 trigger ($)</t>
  </si>
  <si>
    <t xml:space="preserve">$125 trigger ($)</t>
  </si>
  <si>
    <t xml:space="preserve">Recipients</t>
  </si>
  <si>
    <t xml:space="preserve">Action</t>
  </si>
  <si>
    <t xml:space="preserve">Team monthly – early warning</t>
  </si>
  <si>
    <t xml:space="preserve">50%</t>
  </si>
  <si>
    <t xml:space="preserve">Admins + Finance</t>
  </si>
  <si>
    <t xml:space="preserve">Monitor</t>
  </si>
  <si>
    <t xml:space="preserve">Team monthly – caution</t>
  </si>
  <si>
    <t xml:space="preserve">80%</t>
  </si>
  <si>
    <t xml:space="preserve">Review top 5 spenders</t>
  </si>
  <si>
    <t xml:space="preserve">Team monthly – critical</t>
  </si>
  <si>
    <t xml:space="preserve">100%</t>
  </si>
  <si>
    <t xml:space="preserve">Admins + Finance + Management</t>
  </si>
  <si>
    <t xml:space="preserve">Escalate; consider raising limit</t>
  </si>
  <si>
    <t xml:space="preserve">Member spend – caution</t>
  </si>
  <si>
    <t xml:space="preserve">80% of limit</t>
  </si>
  <si>
    <t xml:space="preserve">Member + Group admin</t>
  </si>
  <si>
    <t xml:space="preserve">Member reviews own usage</t>
  </si>
  <si>
    <t xml:space="preserve">Annual pace &gt;110% straight-line</t>
  </si>
  <si>
    <t xml:space="preserve">110% pace</t>
  </si>
  <si>
    <t xml:space="preserve">Finance (via Admin API)</t>
  </si>
  <si>
    <t xml:space="preserve">Finance review; risk of overrun</t>
  </si>
  <si>
    <t xml:space="preserve">Governance Checklist (tick Status as you go)</t>
  </si>
  <si>
    <t xml:space="preserve">Control</t>
  </si>
  <si>
    <t xml:space="preserve">Required setting</t>
  </si>
  <si>
    <t xml:space="preserve">Owner</t>
  </si>
  <si>
    <t xml:space="preserve">Status</t>
  </si>
  <si>
    <t xml:space="preserve">Priority</t>
  </si>
  <si>
    <t xml:space="preserve">Notes</t>
  </si>
  <si>
    <t xml:space="preserve">SSO enforced</t>
  </si>
  <si>
    <t xml:space="preserve">Enabled</t>
  </si>
  <si>
    <t xml:space="preserve">Admin</t>
  </si>
  <si>
    <t xml:space="preserve">To do</t>
  </si>
  <si>
    <t xml:space="preserve">P1 – Day 1</t>
  </si>
  <si>
    <t xml:space="preserve">Disable invite links; verified domains only</t>
  </si>
  <si>
    <t xml:space="preserve">Only Admins Edit Usage Settings</t>
  </si>
  <si>
    <t xml:space="preserve">Prevents users raising own spend limits</t>
  </si>
  <si>
    <t xml:space="preserve">Invite links disabled</t>
  </si>
  <si>
    <t xml:space="preserve">Disabled</t>
  </si>
  <si>
    <t xml:space="preserve">Use SSO or domain matching instead</t>
  </si>
  <si>
    <t xml:space="preserve">CLS-NET group created</t>
  </si>
  <si>
    <t xml:space="preserve">Done</t>
  </si>
  <si>
    <t xml:space="preserve">Assign 20 users; set group spend limit</t>
  </si>
  <si>
    <t xml:space="preserve">CLS-DIRECT group created</t>
  </si>
  <si>
    <t xml:space="preserve">Finance Unpaid Admin seats</t>
  </si>
  <si>
    <t xml:space="preserve">Assigned</t>
  </si>
  <si>
    <t xml:space="preserve">P1 – Week 1</t>
  </si>
  <si>
    <t xml:space="preserve">Free seats; full billing visibility</t>
  </si>
  <si>
    <t xml:space="preserve">Admin API key created</t>
  </si>
  <si>
    <t xml:space="preserve">Created</t>
  </si>
  <si>
    <t xml:space="preserve">Admin/FinOps</t>
  </si>
  <si>
    <t xml:space="preserve">Required for per-group reporting pipeline</t>
  </si>
  <si>
    <t xml:space="preserve">Default model → Composer/Grok</t>
  </si>
  <si>
    <t xml:space="preserve">Configured</t>
  </si>
  <si>
    <t xml:space="preserve">Avoids $0.25/M Cursor Token Rate surcharge</t>
  </si>
  <si>
    <t xml:space="preserve">Spend alerts configured</t>
  </si>
  <si>
    <t xml:space="preserve">50% / 80% / 100% thresholds</t>
  </si>
  <si>
    <t xml:space="preserve">Per-group chargeback report</t>
  </si>
  <si>
    <t xml:space="preserve">Built</t>
  </si>
  <si>
    <t xml:space="preserve">FinOps</t>
  </si>
  <si>
    <t xml:space="preserve">P1 – Week 2</t>
  </si>
  <si>
    <t xml:space="preserve">Admin API → GCP/AWS FinOps pipeline</t>
  </si>
  <si>
    <t xml:space="preserve">Audit log monitoring</t>
  </si>
  <si>
    <t xml:space="preserve">Active</t>
  </si>
  <si>
    <t xml:space="preserve">Watch admin_only_usage_pricing events</t>
  </si>
  <si>
    <t xml:space="preserve">SCIM provisioning</t>
  </si>
  <si>
    <t xml:space="preserve">Planned</t>
  </si>
  <si>
    <t xml:space="preserve">IT/Admin</t>
  </si>
  <si>
    <t xml:space="preserve">Future</t>
  </si>
  <si>
    <t xml:space="preserve">Required before scaling to 200 users</t>
  </si>
  <si>
    <t xml:space="preserve">Dynamic Spend Limits enabled</t>
  </si>
  <si>
    <t xml:space="preserve">Auto-scales limits with headcount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</si>
</sst>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\$#,##0"/>
    <numFmt numFmtId="168" formatCode="0%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FE0E0"/>
      </patternFill>
    </fill>
    <fill>
      <patternFill patternType="solid">
        <fgColor rgb="FFF2F7FB"/>
        <bgColor rgb="FFFFFFFF"/>
      </patternFill>
    </fill>
    <fill>
      <patternFill patternType="solid">
        <fgColor rgb="FFE2EFDA"/>
        <bgColor rgb="FFD6E4F0"/>
      </patternFill>
    </fill>
    <fill>
      <patternFill patternType="solid">
        <fgColor rgb="FFFFE0E0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7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3" customFormat="false" ht="19.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40</v>
      </c>
      <c r="C5" s="6" t="s">
        <v>7</v>
      </c>
      <c r="D5" s="7" t="s">
        <v>8</v>
      </c>
    </row>
    <row r="6" customFormat="false" ht="15" hidden="false" customHeight="false" outlineLevel="0" collapsed="false">
      <c r="A6" s="8" t="s">
        <v>9</v>
      </c>
      <c r="B6" s="5" t="n">
        <v>20</v>
      </c>
      <c r="C6" s="9" t="s">
        <v>7</v>
      </c>
      <c r="D6" s="10" t="s">
        <v>10</v>
      </c>
    </row>
    <row r="7" customFormat="false" ht="15" hidden="false" customHeight="false" outlineLevel="0" collapsed="false">
      <c r="A7" s="4" t="s">
        <v>11</v>
      </c>
      <c r="B7" s="5" t="n">
        <v>20</v>
      </c>
      <c r="C7" s="6" t="s">
        <v>7</v>
      </c>
      <c r="D7" s="7" t="s">
        <v>10</v>
      </c>
    </row>
    <row r="8" customFormat="false" ht="15" hidden="false" customHeight="false" outlineLevel="0" collapsed="false">
      <c r="A8" s="8" t="s">
        <v>12</v>
      </c>
      <c r="B8" s="5" t="n">
        <v>10</v>
      </c>
      <c r="C8" s="9" t="s">
        <v>7</v>
      </c>
      <c r="D8" s="10" t="s">
        <v>13</v>
      </c>
    </row>
    <row r="9" customFormat="false" ht="15" hidden="false" customHeight="false" outlineLevel="0" collapsed="false">
      <c r="A9" s="4" t="s">
        <v>14</v>
      </c>
      <c r="B9" s="5" t="n">
        <v>30</v>
      </c>
      <c r="C9" s="6" t="s">
        <v>7</v>
      </c>
      <c r="D9" s="7" t="s">
        <v>15</v>
      </c>
    </row>
    <row r="10" customFormat="false" ht="15" hidden="false" customHeight="false" outlineLevel="0" collapsed="false">
      <c r="A10" s="8" t="s">
        <v>16</v>
      </c>
      <c r="B10" s="5" t="n">
        <v>40</v>
      </c>
      <c r="C10" s="9" t="s">
        <v>17</v>
      </c>
      <c r="D10" s="10" t="s">
        <v>18</v>
      </c>
    </row>
    <row r="11" customFormat="false" ht="15" hidden="false" customHeight="false" outlineLevel="0" collapsed="false">
      <c r="A11" s="4" t="s">
        <v>19</v>
      </c>
      <c r="B11" s="5" t="n">
        <v>120</v>
      </c>
      <c r="C11" s="6" t="s">
        <v>17</v>
      </c>
      <c r="D11" s="7" t="s">
        <v>20</v>
      </c>
    </row>
    <row r="13" customFormat="false" ht="19.5" hidden="false" customHeight="true" outlineLevel="0" collapsed="false">
      <c r="A13" s="2" t="s">
        <v>21</v>
      </c>
      <c r="B13" s="2"/>
      <c r="C13" s="2"/>
      <c r="D13" s="2"/>
    </row>
    <row r="14" customFormat="false" ht="15" hidden="false" customHeight="false" outlineLevel="0" collapsed="false">
      <c r="A14" s="3" t="s">
        <v>2</v>
      </c>
      <c r="B14" s="3" t="s">
        <v>3</v>
      </c>
      <c r="C14" s="3" t="s">
        <v>4</v>
      </c>
      <c r="D14" s="3" t="s">
        <v>5</v>
      </c>
    </row>
    <row r="15" customFormat="false" ht="15" hidden="false" customHeight="false" outlineLevel="0" collapsed="false">
      <c r="A15" s="4" t="s">
        <v>22</v>
      </c>
      <c r="B15" s="11" t="n">
        <v>75</v>
      </c>
      <c r="C15" s="6" t="s">
        <v>17</v>
      </c>
      <c r="D15" s="7" t="s">
        <v>23</v>
      </c>
    </row>
    <row r="16" customFormat="false" ht="15" hidden="false" customHeight="false" outlineLevel="0" collapsed="false">
      <c r="A16" s="8" t="s">
        <v>24</v>
      </c>
      <c r="B16" s="11" t="n">
        <v>75</v>
      </c>
      <c r="C16" s="9" t="s">
        <v>17</v>
      </c>
      <c r="D16" s="10" t="s">
        <v>25</v>
      </c>
    </row>
    <row r="17" customFormat="false" ht="15" hidden="false" customHeight="false" outlineLevel="0" collapsed="false">
      <c r="A17" s="4" t="s">
        <v>26</v>
      </c>
      <c r="B17" s="11" t="n">
        <v>125</v>
      </c>
      <c r="C17" s="6" t="s">
        <v>17</v>
      </c>
      <c r="D17" s="7" t="s">
        <v>27</v>
      </c>
    </row>
    <row r="18" customFormat="false" ht="15" hidden="false" customHeight="false" outlineLevel="0" collapsed="false">
      <c r="A18" s="8" t="s">
        <v>28</v>
      </c>
      <c r="B18" s="11" t="n">
        <v>125</v>
      </c>
      <c r="C18" s="9" t="s">
        <v>17</v>
      </c>
      <c r="D18" s="10" t="s">
        <v>29</v>
      </c>
    </row>
    <row r="19" customFormat="false" ht="15" hidden="false" customHeight="false" outlineLevel="0" collapsed="false">
      <c r="A19" s="4" t="s">
        <v>30</v>
      </c>
      <c r="B19" s="11" t="n">
        <v>0.25</v>
      </c>
      <c r="C19" s="6" t="s">
        <v>31</v>
      </c>
      <c r="D19" s="7" t="s">
        <v>32</v>
      </c>
    </row>
  </sheetData>
  <mergeCells count="3">
    <mergeCell ref="A1:D1"/>
    <mergeCell ref="A3:D3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</row>
    <row r="3" customFormat="false" ht="19.5" hidden="false" customHeight="true" outlineLevel="0" collapsed="false">
      <c r="A3" s="2" t="s">
        <v>34</v>
      </c>
      <c r="B3" s="2"/>
      <c r="C3" s="2"/>
      <c r="D3" s="2"/>
      <c r="E3" s="2"/>
    </row>
    <row r="4" customFormat="false" ht="15" hidden="false" customHeight="false" outlineLevel="0" collapsed="false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</row>
    <row r="5" customFormat="false" ht="15" hidden="false" customHeight="false" outlineLevel="0" collapsed="false">
      <c r="A5" s="4" t="s">
        <v>40</v>
      </c>
      <c r="B5" s="12" t="n">
        <f aca="false">Assumptions!B9/2</f>
        <v>15</v>
      </c>
      <c r="C5" s="12" t="n">
        <f aca="false">Assumptions!B9/2</f>
        <v>15</v>
      </c>
      <c r="D5" s="12" t="n">
        <f aca="false">B5+C5</f>
        <v>30</v>
      </c>
    </row>
    <row r="6" customFormat="false" ht="15" hidden="false" customHeight="false" outlineLevel="0" collapsed="false">
      <c r="A6" s="8" t="s">
        <v>41</v>
      </c>
      <c r="B6" s="12" t="n">
        <f aca="false">Assumptions!B8/2</f>
        <v>5</v>
      </c>
      <c r="C6" s="12" t="n">
        <f aca="false">Assumptions!B8/2</f>
        <v>5</v>
      </c>
      <c r="D6" s="12" t="n">
        <f aca="false">B6+C6</f>
        <v>10</v>
      </c>
    </row>
    <row r="7" customFormat="false" ht="15" hidden="false" customHeight="false" outlineLevel="0" collapsed="false">
      <c r="A7" s="4" t="s">
        <v>42</v>
      </c>
      <c r="B7" s="13" t="n">
        <f aca="false">B5*Assumptions!B10</f>
        <v>600</v>
      </c>
      <c r="C7" s="13" t="n">
        <f aca="false">C5*Assumptions!B10</f>
        <v>600</v>
      </c>
      <c r="D7" s="13" t="n">
        <f aca="false">B7+C7</f>
        <v>1200</v>
      </c>
      <c r="E7" s="13" t="n">
        <f aca="false">D7*12</f>
        <v>14400</v>
      </c>
    </row>
    <row r="8" customFormat="false" ht="15" hidden="false" customHeight="false" outlineLevel="0" collapsed="false">
      <c r="A8" s="8" t="s">
        <v>43</v>
      </c>
      <c r="B8" s="13" t="n">
        <f aca="false">B6*Assumptions!B11</f>
        <v>600</v>
      </c>
      <c r="C8" s="13" t="n">
        <f aca="false">C6*Assumptions!B11</f>
        <v>600</v>
      </c>
      <c r="D8" s="13" t="n">
        <f aca="false">B8+C8</f>
        <v>1200</v>
      </c>
      <c r="E8" s="13" t="n">
        <f aca="false">D8*12</f>
        <v>14400</v>
      </c>
    </row>
    <row r="9" customFormat="false" ht="15" hidden="false" customHeight="false" outlineLevel="0" collapsed="false">
      <c r="A9" s="14" t="s">
        <v>44</v>
      </c>
      <c r="B9" s="15" t="n">
        <f aca="false">B7+B8</f>
        <v>1200</v>
      </c>
      <c r="C9" s="15" t="n">
        <f aca="false">C7+C8</f>
        <v>1200</v>
      </c>
      <c r="D9" s="15" t="n">
        <f aca="false">B9+C9</f>
        <v>2400</v>
      </c>
      <c r="E9" s="15" t="n">
        <f aca="false">D9*12</f>
        <v>28800</v>
      </c>
    </row>
    <row r="11" customFormat="false" ht="19.5" hidden="false" customHeight="true" outlineLevel="0" collapsed="false">
      <c r="A11" s="2" t="s">
        <v>45</v>
      </c>
      <c r="B11" s="2"/>
      <c r="C11" s="2"/>
      <c r="D11" s="2"/>
      <c r="E11" s="2"/>
    </row>
    <row r="12" customFormat="false" ht="15" hidden="false" customHeight="false" outlineLevel="0" collapsed="false">
      <c r="A12" s="3" t="s">
        <v>35</v>
      </c>
      <c r="B12" s="3" t="s">
        <v>46</v>
      </c>
      <c r="C12" s="3" t="s">
        <v>47</v>
      </c>
      <c r="D12" s="3" t="s">
        <v>48</v>
      </c>
      <c r="E12" s="3" t="s">
        <v>49</v>
      </c>
    </row>
    <row r="13" customFormat="false" ht="15" hidden="false" customHeight="false" outlineLevel="0" collapsed="false">
      <c r="A13" s="4" t="s">
        <v>50</v>
      </c>
      <c r="B13" s="13" t="n">
        <f aca="false">Assumptions!B9*Assumptions!B15</f>
        <v>2250</v>
      </c>
      <c r="C13" s="13" t="n">
        <f aca="false">Assumptions!B9*Assumptions!B17</f>
        <v>3750</v>
      </c>
      <c r="D13" s="13" t="n">
        <f aca="false">B13*12</f>
        <v>27000</v>
      </c>
      <c r="E13" s="13" t="n">
        <f aca="false">C13*12</f>
        <v>45000</v>
      </c>
    </row>
    <row r="14" customFormat="false" ht="15" hidden="false" customHeight="false" outlineLevel="0" collapsed="false">
      <c r="A14" s="8" t="s">
        <v>51</v>
      </c>
      <c r="B14" s="13" t="n">
        <f aca="false">Assumptions!B8*Assumptions!B16</f>
        <v>750</v>
      </c>
      <c r="C14" s="13" t="n">
        <f aca="false">Assumptions!B8*Assumptions!B18</f>
        <v>1250</v>
      </c>
      <c r="D14" s="13" t="n">
        <f aca="false">B14*12</f>
        <v>9000</v>
      </c>
      <c r="E14" s="13" t="n">
        <f aca="false">C14*12</f>
        <v>15000</v>
      </c>
    </row>
    <row r="15" customFormat="false" ht="15" hidden="false" customHeight="false" outlineLevel="0" collapsed="false">
      <c r="A15" s="14" t="s">
        <v>52</v>
      </c>
      <c r="B15" s="15" t="n">
        <f aca="false">B13+B14</f>
        <v>3000</v>
      </c>
      <c r="C15" s="15" t="n">
        <f aca="false">C13+C14</f>
        <v>5000</v>
      </c>
      <c r="D15" s="15" t="n">
        <f aca="false">B15*12</f>
        <v>36000</v>
      </c>
      <c r="E15" s="15" t="n">
        <f aca="false">C15*12</f>
        <v>60000</v>
      </c>
    </row>
    <row r="16" customFormat="false" ht="15" hidden="false" customHeight="false" outlineLevel="0" collapsed="false">
      <c r="A16" s="8" t="s">
        <v>53</v>
      </c>
      <c r="B16" s="13" t="n">
        <f aca="false">B15/2</f>
        <v>1500</v>
      </c>
      <c r="C16" s="13" t="n">
        <f aca="false">C15/2</f>
        <v>2500</v>
      </c>
      <c r="D16" s="13" t="n">
        <f aca="false">B16*12</f>
        <v>18000</v>
      </c>
      <c r="E16" s="13" t="n">
        <f aca="false">C16*12</f>
        <v>30000</v>
      </c>
    </row>
    <row r="19" customFormat="false" ht="19.5" hidden="false" customHeight="true" outlineLevel="0" collapsed="false">
      <c r="A19" s="2" t="s">
        <v>54</v>
      </c>
      <c r="B19" s="2"/>
      <c r="C19" s="2"/>
      <c r="D19" s="2"/>
      <c r="E19" s="2"/>
    </row>
    <row r="20" customFormat="false" ht="15" hidden="false" customHeight="false" outlineLevel="0" collapsed="false">
      <c r="A20" s="3" t="s">
        <v>55</v>
      </c>
      <c r="B20" s="3" t="s">
        <v>56</v>
      </c>
      <c r="C20" s="3" t="s">
        <v>57</v>
      </c>
      <c r="D20" s="3" t="s">
        <v>5</v>
      </c>
    </row>
    <row r="21" customFormat="false" ht="15" hidden="false" customHeight="false" outlineLevel="0" collapsed="false">
      <c r="A21" s="4" t="s">
        <v>58</v>
      </c>
      <c r="B21" s="13" t="n">
        <f aca="false">D9*12</f>
        <v>28800</v>
      </c>
      <c r="C21" s="13" t="n">
        <f aca="false">D9*12</f>
        <v>28800</v>
      </c>
      <c r="D21" s="7" t="s">
        <v>59</v>
      </c>
    </row>
    <row r="22" customFormat="false" ht="15" hidden="false" customHeight="false" outlineLevel="0" collapsed="false">
      <c r="A22" s="8" t="s">
        <v>60</v>
      </c>
      <c r="B22" s="13" t="n">
        <f aca="false">D15*12</f>
        <v>432000</v>
      </c>
      <c r="C22" s="13" t="n">
        <f aca="false">E15*12</f>
        <v>720000</v>
      </c>
      <c r="D22" s="10" t="s">
        <v>61</v>
      </c>
    </row>
    <row r="23" customFormat="false" ht="15" hidden="false" customHeight="false" outlineLevel="0" collapsed="false">
      <c r="A23" s="16" t="s">
        <v>62</v>
      </c>
      <c r="B23" s="17" t="n">
        <v>0</v>
      </c>
      <c r="C23" s="17" t="n">
        <v>0</v>
      </c>
      <c r="D23" s="18" t="s">
        <v>63</v>
      </c>
    </row>
    <row r="24" customFormat="false" ht="15" hidden="false" customHeight="false" outlineLevel="0" collapsed="false">
      <c r="A24" s="16" t="s">
        <v>64</v>
      </c>
      <c r="B24" s="17" t="n">
        <v>0</v>
      </c>
      <c r="C24" s="17" t="n">
        <v>0</v>
      </c>
      <c r="D24" s="18" t="s">
        <v>63</v>
      </c>
    </row>
    <row r="25" customFormat="false" ht="15" hidden="false" customHeight="false" outlineLevel="0" collapsed="false">
      <c r="A25" s="14" t="s">
        <v>65</v>
      </c>
      <c r="B25" s="15" t="n">
        <f aca="false">B21+B22-B23-B24</f>
        <v>460800</v>
      </c>
      <c r="C25" s="15" t="n">
        <f aca="false">C21+C22-C23-C24</f>
        <v>748800</v>
      </c>
      <c r="D25" s="19" t="s">
        <v>66</v>
      </c>
    </row>
    <row r="28" customFormat="false" ht="19.5" hidden="false" customHeight="true" outlineLevel="0" collapsed="false">
      <c r="A28" s="2" t="s">
        <v>67</v>
      </c>
      <c r="B28" s="2"/>
      <c r="C28" s="2"/>
      <c r="D28" s="2"/>
      <c r="E28" s="2"/>
    </row>
    <row r="29" customFormat="false" ht="15" hidden="false" customHeight="false" outlineLevel="0" collapsed="false">
      <c r="A29" s="3" t="s">
        <v>68</v>
      </c>
      <c r="B29" s="3" t="s">
        <v>69</v>
      </c>
      <c r="C29" s="3" t="s">
        <v>70</v>
      </c>
      <c r="D29" s="3" t="s">
        <v>71</v>
      </c>
      <c r="E29" s="3" t="s">
        <v>72</v>
      </c>
    </row>
    <row r="30" customFormat="false" ht="15" hidden="false" customHeight="false" outlineLevel="0" collapsed="false">
      <c r="A30" s="8" t="s">
        <v>73</v>
      </c>
      <c r="B30" s="17" t="n">
        <v>40</v>
      </c>
      <c r="C30" s="17" t="n">
        <v>60</v>
      </c>
      <c r="D30" s="20" t="s">
        <v>74</v>
      </c>
      <c r="E30" s="20" t="s">
        <v>75</v>
      </c>
    </row>
    <row r="31" customFormat="false" ht="15" hidden="false" customHeight="false" outlineLevel="0" collapsed="false">
      <c r="A31" s="4" t="s">
        <v>76</v>
      </c>
      <c r="B31" s="17" t="n">
        <v>75</v>
      </c>
      <c r="C31" s="17" t="n">
        <v>125</v>
      </c>
      <c r="D31" s="21" t="s">
        <v>77</v>
      </c>
      <c r="E31" s="21" t="s">
        <v>78</v>
      </c>
    </row>
    <row r="32" customFormat="false" ht="15" hidden="false" customHeight="false" outlineLevel="0" collapsed="false">
      <c r="A32" s="8" t="s">
        <v>79</v>
      </c>
      <c r="B32" s="17" t="n">
        <v>150</v>
      </c>
      <c r="C32" s="17" t="n">
        <v>250</v>
      </c>
      <c r="D32" s="20" t="s">
        <v>80</v>
      </c>
      <c r="E32" s="20" t="s">
        <v>78</v>
      </c>
    </row>
    <row r="33" customFormat="false" ht="15" hidden="false" customHeight="false" outlineLevel="0" collapsed="false">
      <c r="A33" s="4" t="s">
        <v>81</v>
      </c>
      <c r="B33" s="17" t="n">
        <v>1500</v>
      </c>
      <c r="C33" s="17" t="n">
        <v>2500</v>
      </c>
      <c r="D33" s="21" t="s">
        <v>82</v>
      </c>
      <c r="E33" s="21" t="s">
        <v>83</v>
      </c>
    </row>
    <row r="34" customFormat="false" ht="15" hidden="false" customHeight="false" outlineLevel="0" collapsed="false">
      <c r="A34" s="8" t="s">
        <v>84</v>
      </c>
      <c r="B34" s="17" t="n">
        <v>1500</v>
      </c>
      <c r="C34" s="17" t="n">
        <v>2500</v>
      </c>
      <c r="D34" s="20" t="s">
        <v>82</v>
      </c>
      <c r="E34" s="20" t="s">
        <v>83</v>
      </c>
    </row>
    <row r="35" customFormat="false" ht="15" hidden="false" customHeight="false" outlineLevel="0" collapsed="false">
      <c r="A35" s="4" t="s">
        <v>85</v>
      </c>
      <c r="B35" s="17" t="n">
        <v>3000</v>
      </c>
      <c r="C35" s="17" t="n">
        <v>5000</v>
      </c>
      <c r="D35" s="21" t="s">
        <v>86</v>
      </c>
      <c r="E35" s="21" t="s">
        <v>87</v>
      </c>
    </row>
  </sheetData>
  <mergeCells count="5">
    <mergeCell ref="A1:E1"/>
    <mergeCell ref="A3:E3"/>
    <mergeCell ref="A11:E11"/>
    <mergeCell ref="A19:E19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2"/>
    <col collapsed="false" customWidth="true" hidden="false" outlineLevel="0" max="6" min="6" style="0" width="16"/>
    <col collapsed="false" customWidth="true" hidden="false" outlineLevel="0" max="9" min="7" style="0" width="18"/>
    <col collapsed="false" customWidth="true" hidden="false" outlineLevel="0" max="10" min="10" style="0" width="20"/>
  </cols>
  <sheetData>
    <row r="1" customFormat="false" ht="27.75" hidden="false" customHeight="true" outlineLevel="0" collapsed="false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9.5" hidden="false" customHeight="true" outlineLevel="0" collapsed="false">
      <c r="A3" s="2" t="s">
        <v>89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23.85" hidden="false" customHeight="false" outlineLevel="0" collapsed="false">
      <c r="A4" s="3" t="s">
        <v>90</v>
      </c>
      <c r="B4" s="3" t="s">
        <v>91</v>
      </c>
      <c r="C4" s="3" t="s">
        <v>92</v>
      </c>
      <c r="D4" s="3" t="s">
        <v>93</v>
      </c>
      <c r="E4" s="3" t="s">
        <v>94</v>
      </c>
      <c r="F4" s="3" t="s">
        <v>95</v>
      </c>
      <c r="G4" s="3" t="s">
        <v>96</v>
      </c>
      <c r="H4" s="3" t="s">
        <v>97</v>
      </c>
      <c r="I4" s="3" t="s">
        <v>98</v>
      </c>
      <c r="J4" s="3" t="s">
        <v>99</v>
      </c>
    </row>
    <row r="5" customFormat="false" ht="15" hidden="false" customHeight="false" outlineLevel="0" collapsed="false">
      <c r="A5" s="4" t="s">
        <v>100</v>
      </c>
      <c r="B5" s="4" t="s">
        <v>101</v>
      </c>
      <c r="C5" s="12" t="n">
        <v>40</v>
      </c>
      <c r="D5" s="12" t="n">
        <v>30</v>
      </c>
      <c r="E5" s="12" t="n">
        <v>10</v>
      </c>
      <c r="F5" s="13" t="n">
        <f aca="false">D5*Assumptions!$B$10+E5*Assumptions!$B$11</f>
        <v>2400</v>
      </c>
      <c r="G5" s="13" t="n">
        <f aca="false">F5*12*(1-$B$22)</f>
        <v>28800</v>
      </c>
      <c r="H5" s="13" t="n">
        <f aca="false">(D5*Assumptions!$B$15+E5*Assumptions!$B$16)*12*(1-$D$22)</f>
        <v>36000</v>
      </c>
      <c r="I5" s="13" t="n">
        <f aca="false">(D5*Assumptions!$B$17+E5*Assumptions!$B$18)*12*(1-$E$22)</f>
        <v>60000</v>
      </c>
      <c r="J5" s="22" t="n">
        <f aca="false">$B$22</f>
        <v>0</v>
      </c>
    </row>
    <row r="6" customFormat="false" ht="15" hidden="false" customHeight="false" outlineLevel="0" collapsed="false">
      <c r="A6" s="8" t="s">
        <v>102</v>
      </c>
      <c r="B6" s="8" t="s">
        <v>103</v>
      </c>
      <c r="C6" s="23" t="n">
        <v>100</v>
      </c>
      <c r="D6" s="23" t="n">
        <v>75</v>
      </c>
      <c r="E6" s="23" t="n">
        <v>25</v>
      </c>
      <c r="F6" s="24" t="n">
        <f aca="false">D6*Assumptions!$B$10+E6*Assumptions!$B$11</f>
        <v>6000</v>
      </c>
      <c r="G6" s="24" t="n">
        <f aca="false">F6*12*(1-$B$23)</f>
        <v>61200</v>
      </c>
      <c r="H6" s="24" t="n">
        <f aca="false">(D6*Assumptions!$B$15+E6*Assumptions!$B$16)*12*(1-$D$23)</f>
        <v>89100</v>
      </c>
      <c r="I6" s="24" t="n">
        <f aca="false">(D6*Assumptions!$B$17+E6*Assumptions!$B$18)*12*(1-$E$23)</f>
        <v>147750</v>
      </c>
      <c r="J6" s="25" t="n">
        <f aca="false">$B$23</f>
        <v>0.15</v>
      </c>
    </row>
    <row r="7" customFormat="false" ht="15" hidden="false" customHeight="false" outlineLevel="0" collapsed="false">
      <c r="A7" s="4" t="s">
        <v>104</v>
      </c>
      <c r="B7" s="4" t="s">
        <v>105</v>
      </c>
      <c r="C7" s="12" t="n">
        <v>200</v>
      </c>
      <c r="D7" s="12" t="n">
        <v>150</v>
      </c>
      <c r="E7" s="12" t="n">
        <v>50</v>
      </c>
      <c r="F7" s="13" t="n">
        <f aca="false">D7*Assumptions!$B$10+E7*Assumptions!$B$11</f>
        <v>12000</v>
      </c>
      <c r="G7" s="13" t="n">
        <f aca="false">F7*12*(1-$B$24)</f>
        <v>100800</v>
      </c>
      <c r="H7" s="13" t="n">
        <f aca="false">(D7*Assumptions!$B$15+E7*Assumptions!$B$16)*12*(1-$D$24)</f>
        <v>177300</v>
      </c>
      <c r="I7" s="13" t="n">
        <f aca="false">(D7*Assumptions!$B$17+E7*Assumptions!$B$18)*12*(1-$E$24)</f>
        <v>291000</v>
      </c>
      <c r="J7" s="22" t="n">
        <f aca="false">$B$24</f>
        <v>0.3</v>
      </c>
    </row>
    <row r="8" customFormat="false" ht="15" hidden="false" customHeight="false" outlineLevel="0" collapsed="false">
      <c r="A8" s="14" t="s">
        <v>106</v>
      </c>
      <c r="B8" s="14" t="s">
        <v>107</v>
      </c>
      <c r="C8" s="26" t="n">
        <v>400</v>
      </c>
      <c r="D8" s="26" t="n">
        <v>300</v>
      </c>
      <c r="E8" s="26" t="n">
        <v>100</v>
      </c>
      <c r="F8" s="15" t="n">
        <f aca="false">D8*Assumptions!$B$10+E8*Assumptions!$B$11</f>
        <v>24000</v>
      </c>
      <c r="G8" s="15" t="n">
        <f aca="false">F8*12*(1-$B$25)</f>
        <v>57600</v>
      </c>
      <c r="H8" s="15" t="n">
        <f aca="false">(D8*Assumptions!$B$15+E8*Assumptions!$B$16)*12*(1-$D$25)</f>
        <v>349200</v>
      </c>
      <c r="I8" s="15" t="n">
        <f aca="false">(D8*Assumptions!$B$17+E8*Assumptions!$B$18)*12*(1-$E$25)</f>
        <v>570000</v>
      </c>
      <c r="J8" s="27" t="n">
        <f aca="false">$B$25</f>
        <v>0.8</v>
      </c>
    </row>
    <row r="10" customFormat="false" ht="19.5" hidden="false" customHeight="true" outlineLevel="0" collapsed="false">
      <c r="A10" s="2" t="s">
        <v>108</v>
      </c>
      <c r="B10" s="2"/>
      <c r="C10" s="2"/>
      <c r="D10" s="2"/>
      <c r="E10" s="2"/>
      <c r="F10" s="2"/>
      <c r="G10" s="2"/>
      <c r="H10" s="2"/>
      <c r="I10" s="2"/>
      <c r="J10" s="2"/>
    </row>
    <row r="11" customFormat="false" ht="23.85" hidden="false" customHeight="false" outlineLevel="0" collapsed="false">
      <c r="A11" s="3" t="s">
        <v>90</v>
      </c>
      <c r="B11" s="3" t="s">
        <v>91</v>
      </c>
      <c r="C11" s="3" t="s">
        <v>92</v>
      </c>
      <c r="D11" s="3" t="s">
        <v>109</v>
      </c>
      <c r="E11" s="3" t="s">
        <v>110</v>
      </c>
      <c r="F11" s="3" t="s">
        <v>111</v>
      </c>
      <c r="G11" s="3" t="s">
        <v>112</v>
      </c>
      <c r="H11" s="3" t="s">
        <v>113</v>
      </c>
      <c r="I11" s="3" t="s">
        <v>114</v>
      </c>
      <c r="J11" s="3" t="s">
        <v>115</v>
      </c>
    </row>
    <row r="12" customFormat="false" ht="15" hidden="false" customHeight="false" outlineLevel="0" collapsed="false">
      <c r="A12" s="8" t="str">
        <f aca="false">A5</f>
        <v>Phase 1</v>
      </c>
      <c r="B12" s="8" t="str">
        <f aca="false">B5</f>
        <v>Q2 2026</v>
      </c>
      <c r="C12" s="23" t="n">
        <f aca="false">C5</f>
        <v>40</v>
      </c>
      <c r="D12" s="24" t="n">
        <f aca="false">G5</f>
        <v>28800</v>
      </c>
      <c r="E12" s="24" t="n">
        <f aca="false">H5</f>
        <v>36000</v>
      </c>
      <c r="F12" s="24" t="n">
        <f aca="false">I5</f>
        <v>60000</v>
      </c>
      <c r="G12" s="24" t="n">
        <f aca="false">G5+H5</f>
        <v>64800</v>
      </c>
      <c r="H12" s="24" t="n">
        <f aca="false">G5+I5</f>
        <v>88800</v>
      </c>
      <c r="I12" s="24" t="n">
        <f aca="false">H12-G12</f>
        <v>24000</v>
      </c>
      <c r="J12" s="28" t="s">
        <v>116</v>
      </c>
    </row>
    <row r="13" customFormat="false" ht="15" hidden="false" customHeight="false" outlineLevel="0" collapsed="false">
      <c r="A13" s="4" t="str">
        <f aca="false">A6</f>
        <v>Phase 2</v>
      </c>
      <c r="B13" s="4" t="str">
        <f aca="false">B6</f>
        <v>Q3 2026</v>
      </c>
      <c r="C13" s="12" t="n">
        <f aca="false">C6</f>
        <v>100</v>
      </c>
      <c r="D13" s="13" t="n">
        <f aca="false">G6</f>
        <v>61200</v>
      </c>
      <c r="E13" s="13" t="n">
        <f aca="false">H6</f>
        <v>89100</v>
      </c>
      <c r="F13" s="13" t="n">
        <f aca="false">I6</f>
        <v>147750</v>
      </c>
      <c r="G13" s="13" t="n">
        <f aca="false">G6+H6</f>
        <v>150300</v>
      </c>
      <c r="H13" s="13" t="n">
        <f aca="false">G6+I6</f>
        <v>208950</v>
      </c>
      <c r="I13" s="13" t="n">
        <f aca="false">H13-G13</f>
        <v>58650</v>
      </c>
      <c r="J13" s="29" t="s">
        <v>117</v>
      </c>
    </row>
    <row r="14" customFormat="false" ht="15" hidden="false" customHeight="false" outlineLevel="0" collapsed="false">
      <c r="A14" s="8" t="str">
        <f aca="false">A7</f>
        <v>Phase 3</v>
      </c>
      <c r="B14" s="8" t="str">
        <f aca="false">B7</f>
        <v>Q4 2026</v>
      </c>
      <c r="C14" s="23" t="n">
        <f aca="false">C7</f>
        <v>200</v>
      </c>
      <c r="D14" s="24" t="n">
        <f aca="false">G7</f>
        <v>100800</v>
      </c>
      <c r="E14" s="24" t="n">
        <f aca="false">H7</f>
        <v>177300</v>
      </c>
      <c r="F14" s="24" t="n">
        <f aca="false">I7</f>
        <v>291000</v>
      </c>
      <c r="G14" s="24" t="n">
        <f aca="false">G7+H7</f>
        <v>278100</v>
      </c>
      <c r="H14" s="24" t="n">
        <f aca="false">G7+I7</f>
        <v>391800</v>
      </c>
      <c r="I14" s="24" t="n">
        <f aca="false">H14-G14</f>
        <v>113700</v>
      </c>
      <c r="J14" s="28" t="s">
        <v>118</v>
      </c>
    </row>
    <row r="15" customFormat="false" ht="15" hidden="false" customHeight="false" outlineLevel="0" collapsed="false">
      <c r="A15" s="14" t="str">
        <f aca="false">A8</f>
        <v>Phase 4</v>
      </c>
      <c r="B15" s="14" t="str">
        <f aca="false">B8</f>
        <v>Q1 2027</v>
      </c>
      <c r="C15" s="26" t="n">
        <f aca="false">C8</f>
        <v>400</v>
      </c>
      <c r="D15" s="15" t="n">
        <f aca="false">G8</f>
        <v>57600</v>
      </c>
      <c r="E15" s="15" t="n">
        <f aca="false">H8</f>
        <v>349200</v>
      </c>
      <c r="F15" s="15" t="n">
        <f aca="false">I8</f>
        <v>570000</v>
      </c>
      <c r="G15" s="15" t="n">
        <f aca="false">G8+H8</f>
        <v>406800</v>
      </c>
      <c r="H15" s="15" t="n">
        <f aca="false">G8+I8</f>
        <v>627600</v>
      </c>
      <c r="I15" s="15" t="n">
        <f aca="false">H15-G15</f>
        <v>220800</v>
      </c>
      <c r="J15" s="30" t="s">
        <v>119</v>
      </c>
    </row>
    <row r="20" customFormat="false" ht="19.5" hidden="false" customHeight="true" outlineLevel="0" collapsed="false">
      <c r="A20" s="2" t="s">
        <v>120</v>
      </c>
      <c r="B20" s="2"/>
      <c r="C20" s="2"/>
      <c r="D20" s="2"/>
      <c r="E20" s="2"/>
      <c r="F20" s="2"/>
    </row>
    <row r="21" customFormat="false" ht="23.85" hidden="false" customHeight="false" outlineLevel="0" collapsed="false">
      <c r="A21" s="3" t="s">
        <v>90</v>
      </c>
      <c r="B21" s="3" t="s">
        <v>121</v>
      </c>
      <c r="C21" s="3" t="s">
        <v>122</v>
      </c>
      <c r="D21" s="3" t="s">
        <v>123</v>
      </c>
      <c r="E21" s="3" t="s">
        <v>124</v>
      </c>
      <c r="F21" s="3" t="s">
        <v>125</v>
      </c>
    </row>
    <row r="22" customFormat="false" ht="15" hidden="false" customHeight="false" outlineLevel="0" collapsed="false">
      <c r="A22" s="8" t="s">
        <v>100</v>
      </c>
      <c r="B22" s="31" t="n">
        <v>0</v>
      </c>
      <c r="C22" s="31" t="n">
        <v>0</v>
      </c>
      <c r="D22" s="31" t="n">
        <v>0</v>
      </c>
      <c r="E22" s="31" t="n">
        <v>0</v>
      </c>
      <c r="F22" s="21" t="s">
        <v>126</v>
      </c>
    </row>
    <row r="23" customFormat="false" ht="15" hidden="false" customHeight="false" outlineLevel="0" collapsed="false">
      <c r="A23" s="4" t="s">
        <v>102</v>
      </c>
      <c r="B23" s="31" t="n">
        <v>0.15</v>
      </c>
      <c r="C23" s="31" t="n">
        <v>0.25</v>
      </c>
      <c r="D23" s="31" t="n">
        <v>0.01</v>
      </c>
      <c r="E23" s="31" t="n">
        <v>0.015</v>
      </c>
      <c r="F23" s="21" t="s">
        <v>126</v>
      </c>
    </row>
    <row r="24" customFormat="false" ht="15" hidden="false" customHeight="false" outlineLevel="0" collapsed="false">
      <c r="A24" s="8" t="s">
        <v>104</v>
      </c>
      <c r="B24" s="31" t="n">
        <v>0.3</v>
      </c>
      <c r="C24" s="31" t="n">
        <v>0.5</v>
      </c>
      <c r="D24" s="31" t="n">
        <v>0.015</v>
      </c>
      <c r="E24" s="31" t="n">
        <v>0.03</v>
      </c>
      <c r="F24" s="21" t="s">
        <v>126</v>
      </c>
    </row>
    <row r="25" customFormat="false" ht="15" hidden="false" customHeight="false" outlineLevel="0" collapsed="false">
      <c r="A25" s="4" t="s">
        <v>106</v>
      </c>
      <c r="B25" s="31" t="n">
        <v>0.8</v>
      </c>
      <c r="C25" s="31" t="n">
        <v>1</v>
      </c>
      <c r="D25" s="31" t="n">
        <v>0.03</v>
      </c>
      <c r="E25" s="31" t="n">
        <v>0.05</v>
      </c>
      <c r="F25" s="21" t="s">
        <v>126</v>
      </c>
    </row>
  </sheetData>
  <mergeCells count="4">
    <mergeCell ref="A1:J1"/>
    <mergeCell ref="A3:J3"/>
    <mergeCell ref="A10:J10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26"/>
    <col collapsed="false" customWidth="true" hidden="false" outlineLevel="0" max="6" min="5" style="0" width="22"/>
  </cols>
  <sheetData>
    <row r="1" customFormat="false" ht="27.75" hidden="false" customHeight="true" outlineLevel="0" collapsed="false">
      <c r="A1" s="1" t="s">
        <v>127</v>
      </c>
      <c r="B1" s="1"/>
      <c r="C1" s="1"/>
      <c r="D1" s="1"/>
      <c r="E1" s="1"/>
      <c r="F1" s="1"/>
    </row>
    <row r="3" customFormat="false" ht="19.5" hidden="false" customHeight="true" outlineLevel="0" collapsed="false">
      <c r="A3" s="2" t="s">
        <v>128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129</v>
      </c>
      <c r="B4" s="3" t="s">
        <v>130</v>
      </c>
      <c r="C4" s="3" t="s">
        <v>131</v>
      </c>
      <c r="D4" s="3" t="s">
        <v>132</v>
      </c>
      <c r="E4" s="3" t="s">
        <v>133</v>
      </c>
      <c r="F4" s="3" t="s">
        <v>134</v>
      </c>
    </row>
    <row r="5" customFormat="false" ht="15" hidden="false" customHeight="false" outlineLevel="0" collapsed="false">
      <c r="A5" s="4" t="s">
        <v>135</v>
      </c>
      <c r="B5" s="32" t="s">
        <v>136</v>
      </c>
      <c r="C5" s="13" t="n">
        <f aca="false">'Phase 1 – 40 Users'!B15*0.5</f>
        <v>1500</v>
      </c>
      <c r="D5" s="13" t="n">
        <f aca="false">'Phase 1 – 40 Users'!C15*0.5</f>
        <v>2500</v>
      </c>
      <c r="E5" s="33" t="s">
        <v>137</v>
      </c>
      <c r="F5" s="33" t="s">
        <v>138</v>
      </c>
    </row>
    <row r="6" customFormat="false" ht="15" hidden="false" customHeight="false" outlineLevel="0" collapsed="false">
      <c r="A6" s="8" t="s">
        <v>139</v>
      </c>
      <c r="B6" s="32" t="s">
        <v>140</v>
      </c>
      <c r="C6" s="24" t="n">
        <f aca="false">'Phase 1 – 40 Users'!B15*0.8</f>
        <v>2400</v>
      </c>
      <c r="D6" s="24" t="n">
        <f aca="false">'Phase 1 – 40 Users'!C15*0.8</f>
        <v>4000</v>
      </c>
      <c r="E6" s="34" t="s">
        <v>137</v>
      </c>
      <c r="F6" s="34" t="s">
        <v>141</v>
      </c>
    </row>
    <row r="7" customFormat="false" ht="15" hidden="false" customHeight="false" outlineLevel="0" collapsed="false">
      <c r="A7" s="4" t="s">
        <v>142</v>
      </c>
      <c r="B7" s="32" t="s">
        <v>143</v>
      </c>
      <c r="C7" s="13" t="n">
        <f aca="false">'Phase 1 – 40 Users'!B15*1</f>
        <v>3000</v>
      </c>
      <c r="D7" s="13" t="n">
        <f aca="false">'Phase 1 – 40 Users'!C15*1</f>
        <v>5000</v>
      </c>
      <c r="E7" s="33" t="s">
        <v>144</v>
      </c>
      <c r="F7" s="33" t="s">
        <v>145</v>
      </c>
    </row>
    <row r="8" customFormat="false" ht="15" hidden="false" customHeight="false" outlineLevel="0" collapsed="false">
      <c r="A8" s="8" t="s">
        <v>146</v>
      </c>
      <c r="B8" s="32" t="s">
        <v>147</v>
      </c>
      <c r="C8" s="24" t="n">
        <f aca="false">'Phase 1 – 40 Users'!B30*0.8</f>
        <v>32</v>
      </c>
      <c r="D8" s="24" t="n">
        <f aca="false">'Phase 1 – 40 Users'!C30*0.8</f>
        <v>48</v>
      </c>
      <c r="E8" s="34" t="s">
        <v>148</v>
      </c>
      <c r="F8" s="34" t="s">
        <v>149</v>
      </c>
    </row>
    <row r="9" customFormat="false" ht="15" hidden="false" customHeight="false" outlineLevel="0" collapsed="false">
      <c r="A9" s="4" t="s">
        <v>150</v>
      </c>
      <c r="B9" s="32" t="s">
        <v>151</v>
      </c>
      <c r="C9" s="13" t="n">
        <f aca="false">36000/12*1.1</f>
        <v>3300</v>
      </c>
      <c r="D9" s="13" t="n">
        <f aca="false">60000/12*1.1</f>
        <v>5500</v>
      </c>
      <c r="E9" s="33" t="s">
        <v>152</v>
      </c>
      <c r="F9" s="33" t="s">
        <v>153</v>
      </c>
    </row>
    <row r="12" customFormat="false" ht="19.5" hidden="false" customHeight="true" outlineLevel="0" collapsed="false">
      <c r="A12" s="2" t="s">
        <v>154</v>
      </c>
      <c r="B12" s="2"/>
      <c r="C12" s="2"/>
      <c r="D12" s="2"/>
      <c r="E12" s="2"/>
      <c r="F12" s="2"/>
    </row>
    <row r="13" customFormat="false" ht="15" hidden="false" customHeight="false" outlineLevel="0" collapsed="false">
      <c r="A13" s="3" t="s">
        <v>155</v>
      </c>
      <c r="B13" s="3" t="s">
        <v>156</v>
      </c>
      <c r="C13" s="3" t="s">
        <v>157</v>
      </c>
      <c r="D13" s="3" t="s">
        <v>158</v>
      </c>
      <c r="E13" s="3" t="s">
        <v>159</v>
      </c>
      <c r="F13" s="3" t="s">
        <v>160</v>
      </c>
    </row>
    <row r="14" customFormat="false" ht="15" hidden="false" customHeight="false" outlineLevel="0" collapsed="false">
      <c r="A14" s="8" t="s">
        <v>161</v>
      </c>
      <c r="B14" s="32" t="s">
        <v>162</v>
      </c>
      <c r="C14" s="9" t="s">
        <v>163</v>
      </c>
      <c r="D14" s="35" t="s">
        <v>164</v>
      </c>
      <c r="E14" s="9" t="s">
        <v>165</v>
      </c>
      <c r="F14" s="20" t="s">
        <v>166</v>
      </c>
    </row>
    <row r="15" customFormat="false" ht="15" hidden="false" customHeight="false" outlineLevel="0" collapsed="false">
      <c r="A15" s="4" t="s">
        <v>167</v>
      </c>
      <c r="B15" s="32" t="s">
        <v>162</v>
      </c>
      <c r="C15" s="6" t="s">
        <v>163</v>
      </c>
      <c r="D15" s="35" t="s">
        <v>164</v>
      </c>
      <c r="E15" s="6" t="s">
        <v>165</v>
      </c>
      <c r="F15" s="21" t="s">
        <v>168</v>
      </c>
    </row>
    <row r="16" customFormat="false" ht="15" hidden="false" customHeight="false" outlineLevel="0" collapsed="false">
      <c r="A16" s="8" t="s">
        <v>169</v>
      </c>
      <c r="B16" s="32" t="s">
        <v>170</v>
      </c>
      <c r="C16" s="9" t="s">
        <v>163</v>
      </c>
      <c r="D16" s="35" t="s">
        <v>164</v>
      </c>
      <c r="E16" s="9" t="s">
        <v>165</v>
      </c>
      <c r="F16" s="20" t="s">
        <v>171</v>
      </c>
    </row>
    <row r="17" customFormat="false" ht="15" hidden="false" customHeight="false" outlineLevel="0" collapsed="false">
      <c r="A17" s="4" t="s">
        <v>172</v>
      </c>
      <c r="B17" s="32" t="s">
        <v>173</v>
      </c>
      <c r="C17" s="6" t="s">
        <v>163</v>
      </c>
      <c r="D17" s="35" t="s">
        <v>164</v>
      </c>
      <c r="E17" s="6" t="s">
        <v>165</v>
      </c>
      <c r="F17" s="21" t="s">
        <v>174</v>
      </c>
    </row>
    <row r="18" customFormat="false" ht="15" hidden="false" customHeight="false" outlineLevel="0" collapsed="false">
      <c r="A18" s="8" t="s">
        <v>175</v>
      </c>
      <c r="B18" s="32" t="s">
        <v>173</v>
      </c>
      <c r="C18" s="9" t="s">
        <v>163</v>
      </c>
      <c r="D18" s="35" t="s">
        <v>164</v>
      </c>
      <c r="E18" s="9" t="s">
        <v>165</v>
      </c>
      <c r="F18" s="20" t="s">
        <v>174</v>
      </c>
    </row>
    <row r="19" customFormat="false" ht="15" hidden="false" customHeight="false" outlineLevel="0" collapsed="false">
      <c r="A19" s="4" t="s">
        <v>176</v>
      </c>
      <c r="B19" s="32" t="s">
        <v>177</v>
      </c>
      <c r="C19" s="6" t="s">
        <v>163</v>
      </c>
      <c r="D19" s="35" t="s">
        <v>164</v>
      </c>
      <c r="E19" s="6" t="s">
        <v>178</v>
      </c>
      <c r="F19" s="21" t="s">
        <v>179</v>
      </c>
    </row>
    <row r="20" customFormat="false" ht="15" hidden="false" customHeight="false" outlineLevel="0" collapsed="false">
      <c r="A20" s="8" t="s">
        <v>180</v>
      </c>
      <c r="B20" s="32" t="s">
        <v>181</v>
      </c>
      <c r="C20" s="9" t="s">
        <v>182</v>
      </c>
      <c r="D20" s="35" t="s">
        <v>164</v>
      </c>
      <c r="E20" s="9" t="s">
        <v>178</v>
      </c>
      <c r="F20" s="20" t="s">
        <v>183</v>
      </c>
    </row>
    <row r="21" customFormat="false" ht="15" hidden="false" customHeight="false" outlineLevel="0" collapsed="false">
      <c r="A21" s="4" t="s">
        <v>184</v>
      </c>
      <c r="B21" s="32" t="s">
        <v>185</v>
      </c>
      <c r="C21" s="6" t="s">
        <v>163</v>
      </c>
      <c r="D21" s="35" t="s">
        <v>164</v>
      </c>
      <c r="E21" s="6" t="s">
        <v>178</v>
      </c>
      <c r="F21" s="21" t="s">
        <v>186</v>
      </c>
    </row>
    <row r="22" customFormat="false" ht="15" hidden="false" customHeight="false" outlineLevel="0" collapsed="false">
      <c r="A22" s="8" t="s">
        <v>187</v>
      </c>
      <c r="B22" s="32" t="s">
        <v>162</v>
      </c>
      <c r="C22" s="9" t="s">
        <v>163</v>
      </c>
      <c r="D22" s="35" t="s">
        <v>164</v>
      </c>
      <c r="E22" s="9" t="s">
        <v>178</v>
      </c>
      <c r="F22" s="20" t="s">
        <v>188</v>
      </c>
    </row>
    <row r="23" customFormat="false" ht="15" hidden="false" customHeight="false" outlineLevel="0" collapsed="false">
      <c r="A23" s="4" t="s">
        <v>189</v>
      </c>
      <c r="B23" s="32" t="s">
        <v>190</v>
      </c>
      <c r="C23" s="6" t="s">
        <v>191</v>
      </c>
      <c r="D23" s="35" t="s">
        <v>164</v>
      </c>
      <c r="E23" s="6" t="s">
        <v>192</v>
      </c>
      <c r="F23" s="21" t="s">
        <v>193</v>
      </c>
    </row>
    <row r="24" customFormat="false" ht="15" hidden="false" customHeight="false" outlineLevel="0" collapsed="false">
      <c r="A24" s="8" t="s">
        <v>194</v>
      </c>
      <c r="B24" s="32" t="s">
        <v>195</v>
      </c>
      <c r="C24" s="9" t="s">
        <v>163</v>
      </c>
      <c r="D24" s="35" t="s">
        <v>164</v>
      </c>
      <c r="E24" s="9" t="s">
        <v>192</v>
      </c>
      <c r="F24" s="20" t="s">
        <v>196</v>
      </c>
    </row>
    <row r="25" customFormat="false" ht="15" hidden="false" customHeight="false" outlineLevel="0" collapsed="false">
      <c r="A25" s="4" t="s">
        <v>197</v>
      </c>
      <c r="B25" s="32" t="s">
        <v>198</v>
      </c>
      <c r="C25" s="6" t="s">
        <v>199</v>
      </c>
      <c r="D25" s="36" t="s">
        <v>200</v>
      </c>
      <c r="E25" s="6" t="s">
        <v>104</v>
      </c>
      <c r="F25" s="21" t="s">
        <v>201</v>
      </c>
    </row>
    <row r="26" customFormat="false" ht="15" hidden="false" customHeight="false" outlineLevel="0" collapsed="false">
      <c r="A26" s="8" t="s">
        <v>202</v>
      </c>
      <c r="B26" s="32" t="s">
        <v>162</v>
      </c>
      <c r="C26" s="9" t="s">
        <v>163</v>
      </c>
      <c r="D26" s="36" t="s">
        <v>200</v>
      </c>
      <c r="E26" s="9" t="s">
        <v>104</v>
      </c>
      <c r="F26" s="20" t="s">
        <v>203</v>
      </c>
    </row>
  </sheetData>
  <mergeCells count="3">
    <mergeCell ref="A1:F1"/>
    <mergeCell ref="A3:F3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2026-10-12T22:43:23Z</dcterms:created>
  <dc:creator>openpyxl</dc:creator>
  <dc:description/>
  <dc:language>en-US</dc:language>
  <cp:lastModifiedBy/>
  <dcterms:modified xsi:type="dcterms:W3CDTF">2026-10-12T22:43:23Z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