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sor Budg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<sst xmlns="http://schemas.openxmlformats.org/spreadsheetml/2006/main" count="86" uniqueCount="63">
  <si>
    <t xml:space="preserve">Cursor Enterprise - Team Budgets (40 users)</t>
  </si>
  <si>
    <t xml:space="preserve">Input</t>
  </si>
  <si>
    <t xml:space="preserve">Value</t>
  </si>
  <si>
    <t xml:space="preserve">Source</t>
  </si>
  <si>
    <t xml:space="preserve">Annual commitment</t>
  </si>
  <si>
    <t xml:space="preserve">Cursor quote</t>
  </si>
  <si>
    <t xml:space="preserve">Seat price per user / month</t>
  </si>
  <si>
    <t xml:space="preserve">Low usage limit per user / month</t>
  </si>
  <si>
    <t xml:space="preserve">Agreed</t>
  </si>
  <si>
    <t xml:space="preserve">High usage limit per user / month</t>
  </si>
  <si>
    <t xml:space="preserve">Groups</t>
  </si>
  <si>
    <t xml:space="preserve">AD group</t>
  </si>
  <si>
    <t xml:space="preserve">Org group</t>
  </si>
  <si>
    <t xml:space="preserve">Team</t>
  </si>
  <si>
    <t xml:space="preserve">Limit / month</t>
  </si>
  <si>
    <t xml:space="preserve">CursorDevAPO</t>
  </si>
  <si>
    <t xml:space="preserve">APOUsers</t>
  </si>
  <si>
    <t xml:space="preserve">TeamAPO</t>
  </si>
  <si>
    <t xml:space="preserve">CursorDevCLSDirect</t>
  </si>
  <si>
    <t xml:space="preserve">CLSDirectUsers</t>
  </si>
  <si>
    <t xml:space="preserve">TeamCLSDirect</t>
  </si>
  <si>
    <t xml:space="preserve">CursorDevCLSNet</t>
  </si>
  <si>
    <t xml:space="preserve">CLSNetUsers</t>
  </si>
  <si>
    <t xml:space="preserve">TeamCLSNet</t>
  </si>
  <si>
    <t xml:space="preserve">CursorDevUSP</t>
  </si>
  <si>
    <t xml:space="preserve">USPUsers</t>
  </si>
  <si>
    <t xml:space="preserve">TeamUSP</t>
  </si>
  <si>
    <t xml:space="preserve">CursorDevIBS</t>
  </si>
  <si>
    <t xml:space="preserve">IBSUsers</t>
  </si>
  <si>
    <t xml:space="preserve">TeamIBS</t>
  </si>
  <si>
    <t xml:space="preserve">CursorDevGTS</t>
  </si>
  <si>
    <t xml:space="preserve">GTSUsers</t>
  </si>
  <si>
    <t xml:space="preserve">TeamGTS</t>
  </si>
  <si>
    <t xml:space="preserve">CursorDevIPO</t>
  </si>
  <si>
    <t xml:space="preserve">IPOUsers</t>
  </si>
  <si>
    <t xml:space="preserve">TeamIPO</t>
  </si>
  <si>
    <t xml:space="preserve">CursorDevPremium</t>
  </si>
  <si>
    <t xml:space="preserve">PremiumUsers</t>
  </si>
  <si>
    <t xml:space="preserve">-</t>
  </si>
  <si>
    <t xml:space="preserve">CursorDevAPOUnpaidAdmin</t>
  </si>
  <si>
    <t xml:space="preserve">APOUnpaidAdmin</t>
  </si>
  <si>
    <t xml:space="preserve">n/a</t>
  </si>
  <si>
    <t xml:space="preserve">CursorDevCLSDirectUnpaidAdmin</t>
  </si>
  <si>
    <t xml:space="preserve">CLSDirectUnpaidAdmin</t>
  </si>
  <si>
    <t xml:space="preserve">CursorDevCLSNetUnpaidAdmin</t>
  </si>
  <si>
    <t xml:space="preserve">CLSNetUnpaidAdmin</t>
  </si>
  <si>
    <t xml:space="preserve">CursorDevUSPUnpaidAdmin</t>
  </si>
  <si>
    <t xml:space="preserve">USPUnpaidAdmin</t>
  </si>
  <si>
    <t xml:space="preserve">CursorDevIBSUnpaidAdmin</t>
  </si>
  <si>
    <t xml:space="preserve">IBSUnpaidAdmin</t>
  </si>
  <si>
    <t xml:space="preserve">CursorDevGTSUnpaidAdmin</t>
  </si>
  <si>
    <t xml:space="preserve">GTSUnpaidAdmin</t>
  </si>
  <si>
    <t xml:space="preserve">CursorDevIPOUnpaidAdmin</t>
  </si>
  <si>
    <t xml:space="preserve">IPOUnpaidAdmin</t>
  </si>
  <si>
    <t xml:space="preserve">Team budgets</t>
  </si>
  <si>
    <t xml:space="preserve">Users</t>
  </si>
  <si>
    <t xml:space="preserve">High usage</t>
  </si>
  <si>
    <t xml:space="preserve">Low usage</t>
  </si>
  <si>
    <t xml:space="preserve">Monthly budget</t>
  </si>
  <si>
    <t xml:space="preserve">Annual budget</t>
  </si>
  <si>
    <t xml:space="preserve">Seat cost / year</t>
  </si>
  <si>
    <t xml:space="preserve">Total / year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</si>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</sst>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8" min="6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2" t="s">
        <v>3</v>
      </c>
    </row>
    <row r="4" customFormat="false" ht="15" hidden="false" customHeight="false" outlineLevel="0" collapsed="false">
      <c r="A4" s="4" t="s">
        <v>4</v>
      </c>
      <c r="B4" s="5" t="n">
        <v>36000</v>
      </c>
      <c r="C4" s="4" t="s">
        <v>5</v>
      </c>
    </row>
    <row r="5" customFormat="false" ht="15" hidden="false" customHeight="false" outlineLevel="0" collapsed="false">
      <c r="A5" s="4" t="s">
        <v>6</v>
      </c>
      <c r="B5" s="5" t="n">
        <v>40</v>
      </c>
      <c r="C5" s="4" t="s">
        <v>5</v>
      </c>
    </row>
    <row r="6" customFormat="false" ht="15" hidden="false" customHeight="false" outlineLevel="0" collapsed="false">
      <c r="A6" s="4" t="s">
        <v>7</v>
      </c>
      <c r="B6" s="5" t="n">
        <v>60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v>135</v>
      </c>
      <c r="C7" s="4" t="s">
        <v>8</v>
      </c>
    </row>
    <row r="9" customFormat="false" ht="15" hidden="false" customHeight="false" outlineLevel="0" collapsed="false">
      <c r="A9" s="6" t="s">
        <v>10</v>
      </c>
    </row>
    <row r="10" customFormat="false" ht="15" hidden="false" customHeight="false" outlineLevel="0" collapsed="false">
      <c r="A10" s="3" t="s">
        <v>11</v>
      </c>
      <c r="B10" s="3" t="s">
        <v>12</v>
      </c>
      <c r="C10" s="3" t="s">
        <v>13</v>
      </c>
      <c r="D10" s="3" t="s">
        <v>14</v>
      </c>
    </row>
    <row r="11" customFormat="false" ht="15" hidden="false" customHeight="false" outlineLevel="0" collapsed="false">
      <c r="A11" s="4" t="s">
        <v>15</v>
      </c>
      <c r="B11" s="4" t="s">
        <v>16</v>
      </c>
      <c r="C11" s="4" t="s">
        <v>17</v>
      </c>
      <c r="D11" s="7" t="n">
        <f aca="false">$B$6</f>
        <v>60</v>
      </c>
    </row>
    <row r="12" customFormat="false" ht="15" hidden="false" customHeight="false" outlineLevel="0" collapsed="false">
      <c r="A12" s="4" t="s">
        <v>18</v>
      </c>
      <c r="B12" s="4" t="s">
        <v>19</v>
      </c>
      <c r="C12" s="4" t="s">
        <v>20</v>
      </c>
      <c r="D12" s="7" t="n">
        <f aca="false">$B$6</f>
        <v>60</v>
      </c>
    </row>
    <row r="13" customFormat="false" ht="15" hidden="false" customHeight="false" outlineLevel="0" collapsed="false">
      <c r="A13" s="4" t="s">
        <v>21</v>
      </c>
      <c r="B13" s="4" t="s">
        <v>22</v>
      </c>
      <c r="C13" s="4" t="s">
        <v>23</v>
      </c>
      <c r="D13" s="7" t="n">
        <f aca="false">$B$6</f>
        <v>60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4" t="s">
        <v>26</v>
      </c>
      <c r="D14" s="7" t="n">
        <f aca="false">$B$6</f>
        <v>60</v>
      </c>
    </row>
    <row r="15" customFormat="false" ht="15" hidden="false" customHeight="false" outlineLevel="0" collapsed="false">
      <c r="A15" s="4" t="s">
        <v>27</v>
      </c>
      <c r="B15" s="4" t="s">
        <v>28</v>
      </c>
      <c r="C15" s="4" t="s">
        <v>29</v>
      </c>
      <c r="D15" s="7" t="n">
        <f aca="false">$B$6</f>
        <v>60</v>
      </c>
    </row>
    <row r="16" customFormat="false" ht="15" hidden="false" customHeight="false" outlineLevel="0" collapsed="false">
      <c r="A16" s="4" t="s">
        <v>30</v>
      </c>
      <c r="B16" s="4" t="s">
        <v>31</v>
      </c>
      <c r="C16" s="4" t="s">
        <v>32</v>
      </c>
      <c r="D16" s="7" t="n">
        <f aca="false">$B$6</f>
        <v>60</v>
      </c>
    </row>
    <row r="17" customFormat="false" ht="15" hidden="false" customHeight="false" outlineLevel="0" collapsed="false">
      <c r="A17" s="4" t="s">
        <v>33</v>
      </c>
      <c r="B17" s="4" t="s">
        <v>34</v>
      </c>
      <c r="C17" s="4" t="s">
        <v>35</v>
      </c>
      <c r="D17" s="7" t="n">
        <f aca="false">$B$6</f>
        <v>60</v>
      </c>
    </row>
    <row r="18" customFormat="false" ht="15" hidden="false" customHeight="false" outlineLevel="0" collapsed="false">
      <c r="A18" s="4" t="s">
        <v>36</v>
      </c>
      <c r="B18" s="4" t="s">
        <v>37</v>
      </c>
      <c r="C18" s="4" t="s">
        <v>38</v>
      </c>
      <c r="D18" s="7" t="n">
        <f aca="false">$B$7</f>
        <v>135</v>
      </c>
    </row>
    <row r="19" customFormat="false" ht="15" hidden="false" customHeight="false" outlineLevel="0" collapsed="false">
      <c r="A19" s="4" t="s">
        <v>39</v>
      </c>
      <c r="B19" s="4" t="s">
        <v>40</v>
      </c>
      <c r="C19" s="4" t="s">
        <v>17</v>
      </c>
      <c r="D19" s="7" t="s">
        <v>41</v>
      </c>
    </row>
    <row r="20" customFormat="false" ht="15" hidden="false" customHeight="false" outlineLevel="0" collapsed="false">
      <c r="A20" s="4" t="s">
        <v>42</v>
      </c>
      <c r="B20" s="4" t="s">
        <v>43</v>
      </c>
      <c r="C20" s="4" t="s">
        <v>20</v>
      </c>
      <c r="D20" s="7" t="s">
        <v>41</v>
      </c>
    </row>
    <row r="21" customFormat="false" ht="15" hidden="false" customHeight="false" outlineLevel="0" collapsed="false">
      <c r="A21" s="4" t="s">
        <v>44</v>
      </c>
      <c r="B21" s="4" t="s">
        <v>45</v>
      </c>
      <c r="C21" s="4" t="s">
        <v>23</v>
      </c>
      <c r="D21" s="7" t="s">
        <v>41</v>
      </c>
    </row>
    <row r="22" customFormat="false" ht="15" hidden="false" customHeight="false" outlineLevel="0" collapsed="false">
      <c r="A22" s="4" t="s">
        <v>46</v>
      </c>
      <c r="B22" s="4" t="s">
        <v>47</v>
      </c>
      <c r="C22" s="4" t="s">
        <v>26</v>
      </c>
      <c r="D22" s="7" t="s">
        <v>41</v>
      </c>
    </row>
    <row r="23" customFormat="false" ht="15" hidden="false" customHeight="false" outlineLevel="0" collapsed="false">
      <c r="A23" s="4" t="s">
        <v>48</v>
      </c>
      <c r="B23" s="4" t="s">
        <v>49</v>
      </c>
      <c r="C23" s="4" t="s">
        <v>29</v>
      </c>
      <c r="D23" s="7" t="s">
        <v>41</v>
      </c>
    </row>
    <row r="24" customFormat="false" ht="15" hidden="false" customHeight="false" outlineLevel="0" collapsed="false">
      <c r="A24" s="4" t="s">
        <v>50</v>
      </c>
      <c r="B24" s="4" t="s">
        <v>51</v>
      </c>
      <c r="C24" s="4" t="s">
        <v>32</v>
      </c>
      <c r="D24" s="7" t="s">
        <v>41</v>
      </c>
    </row>
    <row r="25" customFormat="false" ht="15" hidden="false" customHeight="false" outlineLevel="0" collapsed="false">
      <c r="A25" s="4" t="s">
        <v>52</v>
      </c>
      <c r="B25" s="4" t="s">
        <v>53</v>
      </c>
      <c r="C25" s="4" t="s">
        <v>35</v>
      </c>
      <c r="D25" s="7" t="s">
        <v>41</v>
      </c>
    </row>
    <row r="27" customFormat="false" ht="15" hidden="false" customHeight="false" outlineLevel="0" collapsed="false">
      <c r="A27" s="6" t="s">
        <v>54</v>
      </c>
    </row>
    <row r="28" customFormat="false" ht="15" hidden="false" customHeight="false" outlineLevel="0" collapsed="false">
      <c r="A28" s="3" t="s">
        <v>13</v>
      </c>
      <c r="B28" s="3" t="s">
        <v>55</v>
      </c>
      <c r="C28" s="3" t="s">
        <v>56</v>
      </c>
      <c r="D28" s="3" t="s">
        <v>57</v>
      </c>
      <c r="E28" s="3" t="s">
        <v>58</v>
      </c>
      <c r="F28" s="3" t="s">
        <v>59</v>
      </c>
      <c r="G28" s="3" t="s">
        <v>60</v>
      </c>
      <c r="H28" s="3" t="s">
        <v>61</v>
      </c>
    </row>
    <row r="29" customFormat="false" ht="15" hidden="false" customHeight="false" outlineLevel="0" collapsed="false">
      <c r="A29" s="4" t="s">
        <v>17</v>
      </c>
      <c r="B29" s="8" t="n">
        <f aca="false">C29+D29</f>
        <v>5</v>
      </c>
      <c r="C29" s="8" t="n">
        <v>1</v>
      </c>
      <c r="D29" s="8" t="n">
        <v>4</v>
      </c>
      <c r="E29" s="5" t="n">
        <f aca="false">C29*$B$7+D29*$B$6</f>
        <v>375</v>
      </c>
      <c r="F29" s="5" t="n">
        <f aca="false">E29*12</f>
        <v>4500</v>
      </c>
      <c r="G29" s="5" t="n">
        <f aca="false">B29*$B$5*12</f>
        <v>2400</v>
      </c>
      <c r="H29" s="5" t="n">
        <f aca="false">F29+G29</f>
        <v>6900</v>
      </c>
    </row>
    <row r="30" customFormat="false" ht="15" hidden="false" customHeight="false" outlineLevel="0" collapsed="false">
      <c r="A30" s="4" t="s">
        <v>20</v>
      </c>
      <c r="B30" s="8" t="n">
        <f aca="false">C30+D30</f>
        <v>8</v>
      </c>
      <c r="C30" s="8" t="n">
        <v>2</v>
      </c>
      <c r="D30" s="8" t="n">
        <v>6</v>
      </c>
      <c r="E30" s="5" t="n">
        <f aca="false">C30*$B$7+D30*$B$6</f>
        <v>630</v>
      </c>
      <c r="F30" s="5" t="n">
        <f aca="false">E30*12</f>
        <v>7560</v>
      </c>
      <c r="G30" s="5" t="n">
        <f aca="false">B30*$B$5*12</f>
        <v>3840</v>
      </c>
      <c r="H30" s="5" t="n">
        <f aca="false">F30+G30</f>
        <v>11400</v>
      </c>
    </row>
    <row r="31" customFormat="false" ht="15" hidden="false" customHeight="false" outlineLevel="0" collapsed="false">
      <c r="A31" s="4" t="s">
        <v>23</v>
      </c>
      <c r="B31" s="8" t="n">
        <f aca="false">C31+D31</f>
        <v>8</v>
      </c>
      <c r="C31" s="8" t="n">
        <v>2</v>
      </c>
      <c r="D31" s="8" t="n">
        <v>6</v>
      </c>
      <c r="E31" s="5" t="n">
        <f aca="false">C31*$B$7+D31*$B$6</f>
        <v>630</v>
      </c>
      <c r="F31" s="5" t="n">
        <f aca="false">E31*12</f>
        <v>7560</v>
      </c>
      <c r="G31" s="5" t="n">
        <f aca="false">B31*$B$5*12</f>
        <v>3840</v>
      </c>
      <c r="H31" s="5" t="n">
        <f aca="false">F31+G31</f>
        <v>11400</v>
      </c>
    </row>
    <row r="32" customFormat="false" ht="15" hidden="false" customHeight="false" outlineLevel="0" collapsed="false">
      <c r="A32" s="4" t="s">
        <v>26</v>
      </c>
      <c r="B32" s="8" t="n">
        <f aca="false">C32+D32</f>
        <v>8</v>
      </c>
      <c r="C32" s="8" t="n">
        <v>2</v>
      </c>
      <c r="D32" s="8" t="n">
        <v>6</v>
      </c>
      <c r="E32" s="5" t="n">
        <f aca="false">C32*$B$7+D32*$B$6</f>
        <v>630</v>
      </c>
      <c r="F32" s="5" t="n">
        <f aca="false">E32*12</f>
        <v>7560</v>
      </c>
      <c r="G32" s="5" t="n">
        <f aca="false">B32*$B$5*12</f>
        <v>3840</v>
      </c>
      <c r="H32" s="5" t="n">
        <f aca="false">F32+G32</f>
        <v>11400</v>
      </c>
    </row>
    <row r="33" customFormat="false" ht="15" hidden="false" customHeight="false" outlineLevel="0" collapsed="false">
      <c r="A33" s="4" t="s">
        <v>29</v>
      </c>
      <c r="B33" s="8" t="n">
        <f aca="false">C33+D33</f>
        <v>5</v>
      </c>
      <c r="C33" s="8" t="n">
        <v>1</v>
      </c>
      <c r="D33" s="8" t="n">
        <v>4</v>
      </c>
      <c r="E33" s="5" t="n">
        <f aca="false">C33*$B$7+D33*$B$6</f>
        <v>375</v>
      </c>
      <c r="F33" s="5" t="n">
        <f aca="false">E33*12</f>
        <v>4500</v>
      </c>
      <c r="G33" s="5" t="n">
        <f aca="false">B33*$B$5*12</f>
        <v>2400</v>
      </c>
      <c r="H33" s="5" t="n">
        <f aca="false">F33+G33</f>
        <v>6900</v>
      </c>
    </row>
    <row r="34" customFormat="false" ht="15" hidden="false" customHeight="false" outlineLevel="0" collapsed="false">
      <c r="A34" s="4" t="s">
        <v>32</v>
      </c>
      <c r="B34" s="8" t="n">
        <f aca="false">C34+D34</f>
        <v>3</v>
      </c>
      <c r="C34" s="8" t="n">
        <v>0</v>
      </c>
      <c r="D34" s="8" t="n">
        <v>3</v>
      </c>
      <c r="E34" s="5" t="n">
        <f aca="false">C34*$B$7+D34*$B$6</f>
        <v>180</v>
      </c>
      <c r="F34" s="5" t="n">
        <f aca="false">E34*12</f>
        <v>2160</v>
      </c>
      <c r="G34" s="5" t="n">
        <f aca="false">B34*$B$5*12</f>
        <v>1440</v>
      </c>
      <c r="H34" s="5" t="n">
        <f aca="false">F34+G34</f>
        <v>3600</v>
      </c>
    </row>
    <row r="35" customFormat="false" ht="15" hidden="false" customHeight="false" outlineLevel="0" collapsed="false">
      <c r="A35" s="4" t="s">
        <v>35</v>
      </c>
      <c r="B35" s="8" t="n">
        <f aca="false">C35+D35</f>
        <v>3</v>
      </c>
      <c r="C35" s="8" t="n">
        <v>0</v>
      </c>
      <c r="D35" s="8" t="n">
        <v>3</v>
      </c>
      <c r="E35" s="5" t="n">
        <f aca="false">C35*$B$7+D35*$B$6</f>
        <v>180</v>
      </c>
      <c r="F35" s="5" t="n">
        <f aca="false">E35*12</f>
        <v>2160</v>
      </c>
      <c r="G35" s="5" t="n">
        <f aca="false">B35*$B$5*12</f>
        <v>1440</v>
      </c>
      <c r="H35" s="5" t="n">
        <f aca="false">F35+G35</f>
        <v>3600</v>
      </c>
    </row>
    <row r="36" customFormat="false" ht="15" hidden="false" customHeight="false" outlineLevel="0" collapsed="false">
      <c r="A36" s="9" t="s">
        <v>62</v>
      </c>
      <c r="B36" s="10" t="n">
        <f aca="false">SUM(B29:B35)</f>
        <v>40</v>
      </c>
      <c r="C36" s="10" t="n">
        <f aca="false">SUM(C29:C35)</f>
        <v>8</v>
      </c>
      <c r="D36" s="10" t="n">
        <f aca="false">SUM(D29:D35)</f>
        <v>32</v>
      </c>
      <c r="E36" s="11" t="n">
        <f aca="false">SUM(E29:E35)</f>
        <v>3000</v>
      </c>
      <c r="F36" s="11" t="n">
        <f aca="false">SUM(F29:F35)</f>
        <v>36000</v>
      </c>
      <c r="G36" s="11" t="n">
        <f aca="false">SUM(G29:G35)</f>
        <v>19200</v>
      </c>
      <c r="H36" s="11" t="n">
        <f aca="false">SUM(H29:H35)</f>
        <v>55200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2026-10-13T21:45:03Z</dcterms:created>
  <dc:creator>openpyxl</dc:creator>
  <dc:description/>
  <dc:language>en-US</dc:language>
  <cp:lastModifiedBy/>
  <dcterms:modified xsi:type="dcterms:W3CDTF">2026-10-13T21:45:03Z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