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5A054F56-1D2E-47E9-A1CA-79EDF2A844AE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Management Summary" sheetId="1" r:id="rId1"/>
    <sheet name="Setup &amp; Allocation" sheetId="2" r:id="rId2"/>
    <sheet name="Assumptions" sheetId="3" r:id="rId3"/>
    <sheet name="12-Month Prorated Plan" sheetId="4" r:id="rId4"/>
    <sheet name="Scale Scenarios" sheetId="5" r:id="rId5"/>
    <sheet name="Optional Services" sheetId="6" r:id="rId6"/>
    <sheet name="Budgets &amp; Alerts" sheetId="7" r:id="rId7"/>
    <sheet name="Alert Setup Guide" sheetId="8" r:id="rId8"/>
    <sheet name="POC Checklist" sheetId="9" r:id="rId9"/>
  </sheets>
  <definedNames>
    <definedName name="_xlnm._FilterDatabase" localSheetId="3" hidden="1">'12-Month Prorated Plan'!$A$1:$O$21</definedName>
    <definedName name="_xlnm._FilterDatabase" localSheetId="7" hidden="1">'Alert Setup Guide'!$A$4:$N$14</definedName>
    <definedName name="_xlnm._FilterDatabase" localSheetId="2" hidden="1">Assumptions!$A$1:$G$20</definedName>
    <definedName name="_xlnm._FilterDatabase" localSheetId="6" hidden="1">'Budgets &amp; Alerts'!$A$1:$L$12</definedName>
    <definedName name="_xlnm._FilterDatabase" localSheetId="0" hidden="1">'Management Summary'!$A$1:$I$26</definedName>
    <definedName name="_xlnm._FilterDatabase" localSheetId="5" hidden="1">'Optional Services'!$A$1:$K$9</definedName>
    <definedName name="_xlnm._FilterDatabase" localSheetId="8" hidden="1">'POC Checklist'!$A$1:$I$13</definedName>
    <definedName name="_xlnm._FilterDatabase" localSheetId="4" hidden="1">'Scale Scenarios'!$A$1:$L$12</definedName>
    <definedName name="_xlnm._FilterDatabase" localSheetId="1" hidden="1">'Setup &amp; Allocation'!$A$1:$I$11</definedName>
    <definedName name="_xlnm.Print_Titles" localSheetId="7">'Alert Setup Guide'!$1:$4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7" l="1"/>
  <c r="D11" i="7"/>
  <c r="D4" i="7"/>
  <c r="I9" i="6"/>
  <c r="F9" i="6"/>
  <c r="D9" i="6"/>
  <c r="I8" i="6"/>
  <c r="F8" i="6"/>
  <c r="D8" i="6"/>
  <c r="I7" i="6"/>
  <c r="F7" i="6"/>
  <c r="D7" i="6"/>
  <c r="I6" i="6"/>
  <c r="F6" i="6"/>
  <c r="D6" i="6"/>
  <c r="F5" i="6"/>
  <c r="I5" i="6" s="1"/>
  <c r="D5" i="6"/>
  <c r="D4" i="6"/>
  <c r="F4" i="6" s="1"/>
  <c r="G7" i="5"/>
  <c r="H7" i="5" s="1"/>
  <c r="E7" i="5"/>
  <c r="C7" i="5"/>
  <c r="D7" i="5" s="1"/>
  <c r="G6" i="5"/>
  <c r="H6" i="5" s="1"/>
  <c r="E6" i="5"/>
  <c r="C6" i="5"/>
  <c r="D6" i="5" s="1"/>
  <c r="G5" i="5"/>
  <c r="H5" i="5" s="1"/>
  <c r="E5" i="5"/>
  <c r="C5" i="5"/>
  <c r="D5" i="5" s="1"/>
  <c r="G4" i="5"/>
  <c r="H4" i="5" s="1"/>
  <c r="E4" i="5"/>
  <c r="C4" i="5"/>
  <c r="D4" i="5" s="1"/>
  <c r="N15" i="4"/>
  <c r="M15" i="4"/>
  <c r="L15" i="4"/>
  <c r="C15" i="4"/>
  <c r="N14" i="4"/>
  <c r="M14" i="4"/>
  <c r="L14" i="4"/>
  <c r="C14" i="4"/>
  <c r="N13" i="4"/>
  <c r="M13" i="4"/>
  <c r="L13" i="4"/>
  <c r="C13" i="4"/>
  <c r="N12" i="4"/>
  <c r="M12" i="4"/>
  <c r="L12" i="4"/>
  <c r="C12" i="4"/>
  <c r="N11" i="4"/>
  <c r="M11" i="4"/>
  <c r="L11" i="4"/>
  <c r="C11" i="4"/>
  <c r="N10" i="4"/>
  <c r="M10" i="4"/>
  <c r="L10" i="4"/>
  <c r="C10" i="4"/>
  <c r="N9" i="4"/>
  <c r="M9" i="4"/>
  <c r="L9" i="4"/>
  <c r="G9" i="4"/>
  <c r="C9" i="4"/>
  <c r="N8" i="4"/>
  <c r="M8" i="4"/>
  <c r="L8" i="4"/>
  <c r="G8" i="4"/>
  <c r="C8" i="4"/>
  <c r="N7" i="4"/>
  <c r="M7" i="4"/>
  <c r="L7" i="4"/>
  <c r="G7" i="4"/>
  <c r="C7" i="4"/>
  <c r="N6" i="4"/>
  <c r="M6" i="4"/>
  <c r="L6" i="4"/>
  <c r="G6" i="4"/>
  <c r="C6" i="4"/>
  <c r="N5" i="4"/>
  <c r="M5" i="4"/>
  <c r="L5" i="4"/>
  <c r="G5" i="4"/>
  <c r="C5" i="4"/>
  <c r="N4" i="4"/>
  <c r="M4" i="4"/>
  <c r="L4" i="4"/>
  <c r="G4" i="4"/>
  <c r="C4" i="4"/>
  <c r="B12" i="1"/>
  <c r="H11" i="1"/>
  <c r="D12" i="1" s="1"/>
  <c r="F11" i="1"/>
  <c r="F4" i="1"/>
  <c r="H4" i="1" s="1"/>
  <c r="F12" i="1" l="1"/>
  <c r="F4" i="4"/>
  <c r="D4" i="4"/>
  <c r="E4" i="4" s="1"/>
  <c r="K4" i="4"/>
  <c r="H4" i="4"/>
  <c r="I4" i="4" s="1"/>
  <c r="J4" i="4" s="1"/>
  <c r="F5" i="4"/>
  <c r="D5" i="4"/>
  <c r="E5" i="4" s="1"/>
  <c r="K5" i="4"/>
  <c r="H5" i="4"/>
  <c r="I5" i="4" s="1"/>
  <c r="J5" i="4" s="1"/>
  <c r="F6" i="4"/>
  <c r="D6" i="4"/>
  <c r="E6" i="4" s="1"/>
  <c r="K6" i="4"/>
  <c r="H6" i="4"/>
  <c r="I6" i="4" s="1"/>
  <c r="J6" i="4" s="1"/>
  <c r="F7" i="4"/>
  <c r="D7" i="4"/>
  <c r="E7" i="4" s="1"/>
  <c r="K7" i="4"/>
  <c r="H7" i="4"/>
  <c r="I7" i="4" s="1"/>
  <c r="J7" i="4" s="1"/>
  <c r="F8" i="4"/>
  <c r="D8" i="4"/>
  <c r="E8" i="4" s="1"/>
  <c r="K8" i="4"/>
  <c r="H8" i="4"/>
  <c r="I8" i="4" s="1"/>
  <c r="J8" i="4" s="1"/>
  <c r="F9" i="4"/>
  <c r="D9" i="4"/>
  <c r="E9" i="4" s="1"/>
  <c r="K9" i="4"/>
  <c r="H9" i="4"/>
  <c r="I9" i="4" s="1"/>
  <c r="J9" i="4" s="1"/>
  <c r="G10" i="4"/>
  <c r="F10" i="4"/>
  <c r="D10" i="4"/>
  <c r="E10" i="4" s="1"/>
  <c r="G11" i="4"/>
  <c r="F11" i="4"/>
  <c r="D11" i="4"/>
  <c r="E11" i="4" s="1"/>
  <c r="G12" i="4"/>
  <c r="F12" i="4"/>
  <c r="D12" i="4"/>
  <c r="E12" i="4" s="1"/>
  <c r="G13" i="4"/>
  <c r="F13" i="4"/>
  <c r="D13" i="4"/>
  <c r="E13" i="4" s="1"/>
  <c r="G14" i="4"/>
  <c r="F14" i="4"/>
  <c r="D14" i="4"/>
  <c r="E14" i="4" s="1"/>
  <c r="G15" i="4"/>
  <c r="F15" i="4"/>
  <c r="D15" i="4"/>
  <c r="E15" i="4" s="1"/>
  <c r="L4" i="5"/>
  <c r="J4" i="5"/>
  <c r="I4" i="5"/>
  <c r="K4" i="5" s="1"/>
  <c r="F4" i="5"/>
  <c r="L5" i="5"/>
  <c r="J5" i="5"/>
  <c r="I5" i="5"/>
  <c r="K5" i="5" s="1"/>
  <c r="F5" i="5"/>
  <c r="L6" i="5"/>
  <c r="J6" i="5"/>
  <c r="I6" i="5"/>
  <c r="K6" i="5" s="1"/>
  <c r="F6" i="5"/>
  <c r="L7" i="5"/>
  <c r="J7" i="5"/>
  <c r="I7" i="5"/>
  <c r="K7" i="5" s="1"/>
  <c r="F7" i="5"/>
  <c r="K15" i="4" l="1"/>
  <c r="H15" i="4"/>
  <c r="I15" i="4" s="1"/>
  <c r="J15" i="4" s="1"/>
  <c r="O15" i="4" s="1"/>
  <c r="K14" i="4"/>
  <c r="H14" i="4"/>
  <c r="I14" i="4" s="1"/>
  <c r="J14" i="4" s="1"/>
  <c r="O14" i="4" s="1"/>
  <c r="K13" i="4"/>
  <c r="H13" i="4"/>
  <c r="I13" i="4" s="1"/>
  <c r="J13" i="4" s="1"/>
  <c r="O13" i="4" s="1"/>
  <c r="K12" i="4"/>
  <c r="H12" i="4"/>
  <c r="I12" i="4" s="1"/>
  <c r="J12" i="4" s="1"/>
  <c r="O12" i="4" s="1"/>
  <c r="K11" i="4"/>
  <c r="H11" i="4"/>
  <c r="I11" i="4" s="1"/>
  <c r="J11" i="4" s="1"/>
  <c r="O11" i="4" s="1"/>
  <c r="K10" i="4"/>
  <c r="H10" i="4"/>
  <c r="I10" i="4" s="1"/>
  <c r="J10" i="4" s="1"/>
  <c r="O10" i="4" s="1"/>
  <c r="O21" i="4" s="1"/>
  <c r="O9" i="4"/>
  <c r="O8" i="4"/>
  <c r="O7" i="4"/>
  <c r="O6" i="4"/>
  <c r="O5" i="4"/>
  <c r="O19" i="4"/>
  <c r="O18" i="4"/>
  <c r="O4" i="4"/>
  <c r="O20" i="4" l="1"/>
  <c r="O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9" authorId="0" shapeId="0" xr:uid="{00000000-0006-0000-0200-000001000000}">
      <text>
        <r>
          <rPr>
            <sz val="10"/>
            <rFont val="Arial"/>
            <family val="2"/>
          </rPr>
          <t>Official standard Linux 2-core Actions runner rate used for planning: $0.006 per minute. https://docs.github.com/billing/reference/actions-runner-pricing</t>
        </r>
      </text>
    </comment>
    <comment ref="B14" authorId="0" shapeId="0" xr:uid="{00000000-0006-0000-0200-000002000000}">
      <text>
        <r>
          <rPr>
            <sz val="10"/>
            <rFont val="Arial"/>
            <family val="2"/>
          </rPr>
          <t>GitHub pricing calculator lists Copilot Business at $19/user/month. https://github.com/pricing/calculator</t>
        </r>
      </text>
    </comment>
    <comment ref="B16" authorId="0" shapeId="0" xr:uid="{00000000-0006-0000-0200-000003000000}">
      <text>
        <r>
          <rPr>
            <sz val="10"/>
            <rFont val="Arial"/>
            <family val="2"/>
          </rPr>
          <t>GitHub pricing calculator lists 2-core Codespaces at $0.18/hour. https://github.com/pricing/calculator</t>
        </r>
      </text>
    </comment>
    <comment ref="B20" authorId="0" shapeId="0" xr:uid="{00000000-0006-0000-0200-000004000000}">
      <text>
        <r>
          <rPr>
            <sz val="10"/>
            <rFont val="Arial"/>
            <family val="2"/>
          </rPr>
          <t>GitHub pricing calculator lists Codespaces storage at $0.07/GiB/month. https://github.com/pricing/calculator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700-000001000000}">
      <text>
        <r>
          <rPr>
            <sz val="10"/>
            <rFont val="Arial"/>
            <family val="2"/>
          </rPr>
          <t>Official GitHub documentation used: https://docs.github.com/en/enterprise-cloud@latest/billing/how-tos/set-up-budgets and https://docs.github.com/en/enterprise-cloud@latest/billing/concepts/budgets-and-alerts</t>
        </r>
      </text>
    </comment>
    <comment ref="G5" authorId="0" shapeId="0" xr:uid="{00000000-0006-0000-0700-000002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6" authorId="0" shapeId="0" xr:uid="{00000000-0006-0000-0700-000003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7" authorId="0" shapeId="0" xr:uid="{00000000-0006-0000-0700-000004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8" authorId="0" shapeId="0" xr:uid="{00000000-0006-0000-0700-000005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9" authorId="0" shapeId="0" xr:uid="{00000000-0006-0000-0700-000006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10" authorId="0" shapeId="0" xr:uid="{00000000-0006-0000-0700-000007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11" authorId="0" shapeId="0" xr:uid="{00000000-0006-0000-0700-000008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12" authorId="0" shapeId="0" xr:uid="{00000000-0006-0000-0700-000009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13" authorId="0" shapeId="0" xr:uid="{00000000-0006-0000-0700-00000A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  <comment ref="G14" authorId="0" shapeId="0" xr:uid="{00000000-0006-0000-0700-00000B000000}">
      <text>
        <r>
          <rPr>
            <sz val="10"/>
            <rFont val="Arial"/>
            <family val="2"/>
          </rPr>
          <t>Navigation is based on GitHub Enterprise Cloud Billing &amp; Licensing documentation: https://docs.github.com/en/enterprise-cloud@latest/billing/how-tos/set-up-budgets</t>
        </r>
      </text>
    </comment>
  </commentList>
</comments>
</file>

<file path=xl/sharedStrings.xml><?xml version="1.0" encoding="utf-8"?>
<sst xmlns="http://schemas.openxmlformats.org/spreadsheetml/2006/main" count="710" uniqueCount="497">
  <si>
    <t>GitHub Enterprise POC: Final Cost and No-Surprise Billing Plan</t>
  </si>
  <si>
    <t>Confirmed POC design</t>
  </si>
  <si>
    <t>Enterprise users</t>
  </si>
  <si>
    <t>GitHub Enterprise licence</t>
  </si>
  <si>
    <t>$20/user/month</t>
  </si>
  <si>
    <t>Current base monthly cost</t>
  </si>
  <si>
    <t>Annual base cost</t>
  </si>
  <si>
    <t>PO rate</t>
  </si>
  <si>
    <t>NET organisation</t>
  </si>
  <si>
    <t>20-user planning split</t>
  </si>
  <si>
    <t>Repositories</t>
  </si>
  <si>
    <t>Identity</t>
  </si>
  <si>
    <t>Okta / Azure AD</t>
  </si>
  <si>
    <t>Current enabled scope</t>
  </si>
  <si>
    <t>Repositories only</t>
  </si>
  <si>
    <t>Editable user split</t>
  </si>
  <si>
    <t>DIRECT organisation</t>
  </si>
  <si>
    <t>12-month planning result</t>
  </si>
  <si>
    <t>Measure</t>
  </si>
  <si>
    <t>Value</t>
  </si>
  <si>
    <t>Comment</t>
  </si>
  <si>
    <t>Months 1-6 scope</t>
  </si>
  <si>
    <t>Months 7-12 scope</t>
  </si>
  <si>
    <t>Repositories + Actions</t>
  </si>
  <si>
    <t>Base monthly cost</t>
  </si>
  <si>
    <t>Actions monthly planning cost</t>
  </si>
  <si>
    <t>Actions uses conservative zero included-minutes assumption</t>
  </si>
  <si>
    <t>12-month base licence cost</t>
  </si>
  <si>
    <t>Six-month Actions cost</t>
  </si>
  <si>
    <t>Total prorated 12-month cost</t>
  </si>
  <si>
    <t>Current disabled-service cost</t>
  </si>
  <si>
    <t>$0</t>
  </si>
  <si>
    <t>Copilot, Codespaces, Pages and other products kept off</t>
  </si>
  <si>
    <t>Management recommendation</t>
  </si>
  <si>
    <t>1. Keep the POC at 40 approved seats. The current predictable cost is 40 x $20 = $800 per month, or $9,600 for 12 months.</t>
  </si>
  <si>
    <t>2. Repositories are the only enabled capability. Set $0 budgets or technical disablement for Actions, Codespaces, Copilot AI overage and any other exposed metered SKU.</t>
  </si>
  <si>
    <t>3. Before Actions is enabled in month 7, replace the conservative usage assumption with pilot telemetry and confirm included minutes from the PO. Create separate NET and DIRECT Actions budgets.</t>
  </si>
  <si>
    <t>4. Review billing daily during active tests, weekly otherwise, and perform a finance pre-close before the invoice is issued.</t>
  </si>
  <si>
    <t>Colour key</t>
  </si>
  <si>
    <t>Yellow / blue text</t>
  </si>
  <si>
    <t>Editable user or commercial input</t>
  </si>
  <si>
    <t>Green</t>
  </si>
  <si>
    <t>Formula / calculated value</t>
  </si>
  <si>
    <t>Purple</t>
  </si>
  <si>
    <t>Budget or control decision</t>
  </si>
  <si>
    <t>Gray</t>
  </si>
  <si>
    <t>Static or confirmed configuration</t>
  </si>
  <si>
    <t>POC Setup, Organisations and Identity Integration</t>
  </si>
  <si>
    <t>Level</t>
  </si>
  <si>
    <t>Name</t>
  </si>
  <si>
    <t>Users allocated</t>
  </si>
  <si>
    <t>Teams</t>
  </si>
  <si>
    <t>Identity source</t>
  </si>
  <si>
    <t>Provisioning</t>
  </si>
  <si>
    <t>Admin model</t>
  </si>
  <si>
    <t>Cost treatment</t>
  </si>
  <si>
    <t>Enterprise</t>
  </si>
  <si>
    <t>GitHub Enterprise POC</t>
  </si>
  <si>
    <t>Multiple</t>
  </si>
  <si>
    <t>Okta / Azure Active Directory</t>
  </si>
  <si>
    <t>SSO plus SCIM/group mapping</t>
  </si>
  <si>
    <t>1 Enterprise Administrator</t>
  </si>
  <si>
    <t>40 enterprise seats at $20/user/month</t>
  </si>
  <si>
    <t>Organisation</t>
  </si>
  <si>
    <t>NET</t>
  </si>
  <si>
    <t>Organisation-specific teams</t>
  </si>
  <si>
    <t>IdP groups mapped to GitHub teams</t>
  </si>
  <si>
    <t>Organisation owner(s) delegated</t>
  </si>
  <si>
    <t>50% of shared seat cost for planning</t>
  </si>
  <si>
    <t>DIRECT</t>
  </si>
  <si>
    <t>Architecture note</t>
  </si>
  <si>
    <t>Repository count is shown for planning and governance, but it does not change the $20 per-user base licence calculation. Users authenticate through Okta/Azure Active Directory, with groups mapped to organisations and teams. The 20/20 user allocation is an editable planning split because only the total population of 40 was confirmed.</t>
  </si>
  <si>
    <t>Commercial and Usage Assumptions</t>
  </si>
  <si>
    <t>Input</t>
  </si>
  <si>
    <t>Unit</t>
  </si>
  <si>
    <t>Enabled now?</t>
  </si>
  <si>
    <t>Enable month</t>
  </si>
  <si>
    <t>Source / status</t>
  </si>
  <si>
    <t>Notes</t>
  </si>
  <si>
    <t>POC users</t>
  </si>
  <si>
    <t>Users</t>
  </si>
  <si>
    <t>Yes</t>
  </si>
  <si>
    <t>POC design</t>
  </si>
  <si>
    <t>Editable</t>
  </si>
  <si>
    <t>Enterprise licence per user / month</t>
  </si>
  <si>
    <t>USD</t>
  </si>
  <si>
    <t>PO provided by user</t>
  </si>
  <si>
    <t>Contracted PO rate</t>
  </si>
  <si>
    <t>Forecast months</t>
  </si>
  <si>
    <t>Months</t>
  </si>
  <si>
    <t>Planning assumption</t>
  </si>
  <si>
    <t>12-month view</t>
  </si>
  <si>
    <t>Actions enable month</t>
  </si>
  <si>
    <t>Month number</t>
  </si>
  <si>
    <t>Future</t>
  </si>
  <si>
    <t>User plan</t>
  </si>
  <si>
    <t>Enabled after six months</t>
  </si>
  <si>
    <t>Actions minutes per user / month</t>
  </si>
  <si>
    <t>Minutes</t>
  </si>
  <si>
    <t>Conservative placeholder; replace with pilot telemetry</t>
  </si>
  <si>
    <t>Actions Linux 2-core rate per minute</t>
  </si>
  <si>
    <t>GitHub official runner pricing</t>
  </si>
  <si>
    <t>Before any included allowance</t>
  </si>
  <si>
    <t>Included Actions minutes per month</t>
  </si>
  <si>
    <t>TBD</t>
  </si>
  <si>
    <t>PO / billing entitlement</t>
  </si>
  <si>
    <t>Set to zero conservatively until PO entitlement is confirmed</t>
  </si>
  <si>
    <t>Actions artifact/storage monthly allowance</t>
  </si>
  <si>
    <t>Enter expected overage only if known</t>
  </si>
  <si>
    <t>Copilot Business reference price per user / month</t>
  </si>
  <si>
    <t>No</t>
  </si>
  <si>
    <t>GitHub pricing calculator</t>
  </si>
  <si>
    <t>Illustrative only; use PO rate if enabled</t>
  </si>
  <si>
    <t>Copilot enabled users</t>
  </si>
  <si>
    <t>POC scope</t>
  </si>
  <si>
    <t>Disabled</t>
  </si>
  <si>
    <t>Codespaces 2-core hourly rate</t>
  </si>
  <si>
    <t>Illustrative only</t>
  </si>
  <si>
    <t>Codespaces hours per enabled user / month</t>
  </si>
  <si>
    <t>Hours</t>
  </si>
  <si>
    <t>Codespaces enabled users</t>
  </si>
  <si>
    <t>Codespaces storage per enabled user</t>
  </si>
  <si>
    <t>GiB-month</t>
  </si>
  <si>
    <t>Codespaces storage rate</t>
  </si>
  <si>
    <t>USD/GiB-month</t>
  </si>
  <si>
    <t>GitHub Pages incremental cost</t>
  </si>
  <si>
    <t>USD/month</t>
  </si>
  <si>
    <t>Planning treatment</t>
  </si>
  <si>
    <t>No separate metered cost modelled; validate bandwidth/build terms in PO before enablement</t>
  </si>
  <si>
    <t>Other metered services allowance</t>
  </si>
  <si>
    <t>Packages, LFS, GHAS and other services not enabled</t>
  </si>
  <si>
    <t>12-Month Prorated Cost Plan: Repositories Now, Actions from Month 7</t>
  </si>
  <si>
    <t>Month</t>
  </si>
  <si>
    <t>Phase</t>
  </si>
  <si>
    <t>NET users</t>
  </si>
  <si>
    <t>DIRECT users</t>
  </si>
  <si>
    <t>Base licences</t>
  </si>
  <si>
    <t>Actions minutes</t>
  </si>
  <si>
    <t>Included minutes</t>
  </si>
  <si>
    <t>Billable minutes</t>
  </si>
  <si>
    <t>Actions compute</t>
  </si>
  <si>
    <t>Actions storage</t>
  </si>
  <si>
    <t>Copilot</t>
  </si>
  <si>
    <t>Codespaces</t>
  </si>
  <si>
    <t>Pages / other</t>
  </si>
  <si>
    <t>Total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</si>
  <si>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</si>
  <si>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</si>
  <si>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</si>
  <si>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</si>
  <si>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</si>
  <si>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</si>
  <si>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</si>
  <si>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</si>
  <si>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</si>
  <si>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</si>
  <si>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</si>
  <si>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</si>
  <si>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12-month total</t>
  </si>
  <si>
    <t>Base licence total</t>
  </si>
  <si>
    <t>Prorated Actions total (months 7-12)</t>
  </si>
  <si>
    <t>Current monthly run rate (repos only)</t>
  </si>
  <si>
    <t>Month 7 run rate after Actions enablement</t>
  </si>
  <si>
    <t>User Scale Scenarios and Annualised Cost</t>
  </si>
  <si>
    <t>Scenario</t>
  </si>
  <si>
    <t>Base monthly</t>
  </si>
  <si>
    <t>Base annual</t>
  </si>
  <si>
    <t>Actions minutes/month</t>
  </si>
  <si>
    <t>Actions monthly</t>
  </si>
  <si>
    <t>Repos-only 6 months</t>
  </si>
  <si>
    <t>Actions-enabled 6 months</t>
  </si>
  <si>
    <t>12-month prorated total</t>
  </si>
  <si>
    <t>Annual run rate after Actions</t>
  </si>
  <si>
    <t>40 users</t>
  </si>
  <si>
    <t>200 users</t>
  </si>
  <si>
    <t>400 users</t>
  </si>
  <si>
    <t>800 users</t>
  </si>
  <si>
    <t>Planning note</t>
  </si>
  <si>
    <t>Actions estimates use 500 Linux 2-core hosted-runner minutes per user per month and $0.006/minute, with included minutes set to zero until the PO entitlement is confirmed. This deliberately avoids understating a future bill. Update the yellow/blue assumptions when pilot telemetry and contracted allowances are known.</t>
  </si>
  <si>
    <t>Optional Services: Current State and Illustrative Cost if Enabled</t>
  </si>
  <si>
    <t>Service</t>
  </si>
  <si>
    <t>Included/available in subscription</t>
  </si>
  <si>
    <t>Enabled now</t>
  </si>
  <si>
    <t>Current monthly cost</t>
  </si>
  <si>
    <t>Illustrative usage assumption</t>
  </si>
  <si>
    <t>Illustrative monthly cost</t>
  </si>
  <si>
    <t>Enablement horizon</t>
  </si>
  <si>
    <t>Primary cost driver</t>
  </si>
  <si>
    <t>Recommended initial budget</t>
  </si>
  <si>
    <t>Hard stop</t>
  </si>
  <si>
    <t>40 users; 120 repositories</t>
  </si>
  <si>
    <t>Now</t>
  </si>
  <si>
    <t>Assigned seats</t>
  </si>
  <si>
    <t>$800 base licence forecast</t>
  </si>
  <si>
    <t>Seat approval</t>
  </si>
  <si>
    <t>40 NET repos and 80 DIRECT repos; repository count itself is not used in base licence formula</t>
  </si>
  <si>
    <t>GitHub Actions</t>
  </si>
  <si>
    <t>Available</t>
  </si>
  <si>
    <t>500 Linux 2-core minutes/user/month</t>
  </si>
  <si>
    <t>Billable runner minutes and storage</t>
  </si>
  <si>
    <t>Yes during POC</t>
  </si>
  <si>
    <t>Reduce by included allowance once confirmed</t>
  </si>
  <si>
    <t>GitHub Copilot</t>
  </si>
  <si>
    <t>40 licensed users</t>
  </si>
  <si>
    <t>Not approved</t>
  </si>
  <si>
    <t>Assigned licences and AI-credit overage</t>
  </si>
  <si>
    <t>Yes for AI-credit overage</t>
  </si>
  <si>
    <t>Keep licences unassigned and overage at $0</t>
  </si>
  <si>
    <t>GitHub Codespaces</t>
  </si>
  <si>
    <t>40 users x 20 hours x 2-core plus 10 GiB storage/user</t>
  </si>
  <si>
    <t>Compute hours and storage</t>
  </si>
  <si>
    <t>Disable organisation billing or restrict to named users</t>
  </si>
  <si>
    <t>GitHub Pages</t>
  </si>
  <si>
    <t>No published sites</t>
  </si>
  <si>
    <t>Validate build/bandwidth terms before use</t>
  </si>
  <si>
    <t>Where supported</t>
  </si>
  <si>
    <t>No incremental cost modelled in this plan</t>
  </si>
  <si>
    <t>Packages / LFS / GHAS / other</t>
  </si>
  <si>
    <t>Available or optional</t>
  </si>
  <si>
    <t>No usage</t>
  </si>
  <si>
    <t>Storage, transfer, active committers or SKU usage</t>
  </si>
  <si>
    <t>Create separate budget when scope is approved</t>
  </si>
  <si>
    <t>Final Budget and Alert Design for Two-Organisation POC</t>
  </si>
  <si>
    <t>Scope</t>
  </si>
  <si>
    <t>Product</t>
  </si>
  <si>
    <t>Create now</t>
  </si>
  <si>
    <t>Budget amount</t>
  </si>
  <si>
    <t>75% response</t>
  </si>
  <si>
    <t>90% response</t>
  </si>
  <si>
    <t>100% response</t>
  </si>
  <si>
    <t>Stop usage</t>
  </si>
  <si>
    <t>Recipients</t>
  </si>
  <si>
    <t>Review</t>
  </si>
  <si>
    <t>Owner</t>
  </si>
  <si>
    <t>Rationale</t>
  </si>
  <si>
    <t>Base seats</t>
  </si>
  <si>
    <t>Check seats and pending onboarding</t>
  </si>
  <si>
    <t>Freeze non-critical onboarding</t>
  </si>
  <si>
    <t>Management approval before user 41</t>
  </si>
  <si>
    <t>Enterprise admin, billing manager, Krishna, Finance</t>
  </si>
  <si>
    <t>Weekly</t>
  </si>
  <si>
    <t>Product owner</t>
  </si>
  <si>
    <t>Predictable licence cost; control through seat assignment</t>
  </si>
  <si>
    <t>Actions</t>
  </si>
  <si>
    <t>$0 until month 7</t>
  </si>
  <si>
    <t>Investigate any usage</t>
  </si>
  <si>
    <t>Disable workflows</t>
  </si>
  <si>
    <t>Billing manager, NET owner, platform lead</t>
  </si>
  <si>
    <t>Daily during tests</t>
  </si>
  <si>
    <t>NET owner</t>
  </si>
  <si>
    <t>Out of scope for first six months</t>
  </si>
  <si>
    <t>Billing manager, DIRECT owner, platform lead</t>
  </si>
  <si>
    <t>DIRECT owner</t>
  </si>
  <si>
    <t>Identify user/environment</t>
  </si>
  <si>
    <t>Delete stale environments</t>
  </si>
  <si>
    <t>Billing manager, NET owner</t>
  </si>
  <si>
    <t>Not enabled</t>
  </si>
  <si>
    <t>Billing manager, DIRECT owner</t>
  </si>
  <si>
    <t>Copilot AI credits</t>
  </si>
  <si>
    <t>Identify accidental assignment/use</t>
  </si>
  <si>
    <t>Revoke assignment</t>
  </si>
  <si>
    <t>Enterprise admin, AI owner, Finance</t>
  </si>
  <si>
    <t>AI owner</t>
  </si>
  <si>
    <t>Copilot not enabled</t>
  </si>
  <si>
    <t>Other metered SKUs</t>
  </si>
  <si>
    <t>Yes where exposed</t>
  </si>
  <si>
    <t>Identify SKU/owner</t>
  </si>
  <si>
    <t>Disable feature</t>
  </si>
  <si>
    <t>Stop or escalate</t>
  </si>
  <si>
    <t>Billing manager, platform lead</t>
  </si>
  <si>
    <t>Platform lead</t>
  </si>
  <si>
    <t>Default-deny spend</t>
  </si>
  <si>
    <t>Actions after month 6</t>
  </si>
  <si>
    <t>Before enablement</t>
  </si>
  <si>
    <t>Investigate and reforecast</t>
  </si>
  <si>
    <t>Pause non-essential workflows</t>
  </si>
  <si>
    <t>Stop or approved exception</t>
  </si>
  <si>
    <t>Yes for POC</t>
  </si>
  <si>
    <t>Billing manager, NET owner, Finance</t>
  </si>
  <si>
    <t>Daily initially</t>
  </si>
  <si>
    <t>Half of planned Actions allowance</t>
  </si>
  <si>
    <t>Billing manager, DIRECT owner, Finance</t>
  </si>
  <si>
    <t>Configuration process: see the “Alert Setup Guide” worksheet for the exact GitHub navigation path, budget type, scope, threshold responses, hard-stop choice and recipients for each component.</t>
  </si>
  <si>
    <t>GitHub Enterprise POC: Budget and Alert Configuration Guide</t>
  </si>
  <si>
    <t>Applies to the 40-user POC, one enterprise, NET and DIRECT organisations, repositories-only for months 1-6, and planned GitHub Actions enablement from month 7.</t>
  </si>
  <si>
    <t>Component</t>
  </si>
  <si>
    <t>Current POC state</t>
  </si>
  <si>
    <t>Create budget when</t>
  </si>
  <si>
    <t>Recommended budget</t>
  </si>
  <si>
    <t>Budget type</t>
  </si>
  <si>
    <t>Budget scope</t>
  </si>
  <si>
    <t>GitHub admin navigation path</t>
  </si>
  <si>
    <t>Configuration choices</t>
  </si>
  <si>
    <t>Stop usage?</t>
  </si>
  <si>
    <t>Alert recipients</t>
  </si>
  <si>
    <t>Official source</t>
  </si>
  <si>
    <t>Enterprise base seats</t>
  </si>
  <si>
    <t>Enabled: 40 approved users at $20/user/month</t>
  </si>
  <si>
    <t>Before onboarding and whenever seat ceiling changes</t>
  </si>
  <si>
    <t>$800 monthly forecast; internal warning at 38 seats; management approval before user 41</t>
  </si>
  <si>
    <t>Enterprise licence / seat forecast</t>
  </si>
  <si>
    <t>Whole enterprise</t>
  </si>
  <si>
    <t>Profile picture &gt; Your enterprises &gt; select the enterprise &gt; Billing &amp; Licensing &gt; Budgets and alerts &gt; New budget</t>
  </si>
  <si>
    <t>Select the enterprise licence budget if exposed. Enter seat count or amount. Enable threshold alerts. Seat assignment remains the primary control.</t>
  </si>
  <si>
    <t>Check joiners, leavers, duplicates and pending onboarding.</t>
  </si>
  <si>
    <t>Freeze non-critical onboarding and reconcile the PO forecast.</t>
  </si>
  <si>
    <t>Escalate any seat above 40 for management and Finance approval.</t>
  </si>
  <si>
    <t>No. Licence budgets normally alert rather than block.</t>
  </si>
  <si>
    <t>https://docs.github.com/en/enterprise-cloud@latest/billing/concepts/budgets-and-alerts</t>
  </si>
  <si>
    <t>NET GitHub Actions</t>
  </si>
  <si>
    <t>Disabled in months 1-6; planned from month 7</t>
  </si>
  <si>
    <t>Create now at $0. Replace before month 7 with approved allowance.</t>
  </si>
  <si>
    <t>$0 now; $60/month planning allowance from month 7</t>
  </si>
  <si>
    <t>Product-level budget: GitHub Actions</t>
  </si>
  <si>
    <t>Organisation: NET</t>
  </si>
  <si>
    <t>Profile picture &gt; Your organizations &gt; NET &gt; Settings &gt; Billing &amp; Licensing &gt; Budgets and alerts &gt; New budget</t>
  </si>
  <si>
    <t>Budget Type = Product-level; Product = Actions; Scope = NET organisation; Amount = $0 now or $60 from month 7; select Receive budget threshold alerts; select Stop usage when limit is reached during the POC.</t>
  </si>
  <si>
    <t>Identify workflow, runner type, repeated failures and artifact retention.</t>
  </si>
  <si>
    <t>Pause non-essential workflows and require owner approval.</t>
  </si>
  <si>
    <t>Block hosted-runner usage or approve a documented exception.</t>
  </si>
  <si>
    <t>Yes during POC, subject to approved critical-test exceptions.</t>
  </si>
  <si>
    <t>Billing manager, NET owner, platform lead, Finance</t>
  </si>
  <si>
    <t>https://docs.github.com/en/enterprise-cloud@latest/billing/how-tos/set-up-budgets</t>
  </si>
  <si>
    <t>DIRECT GitHub Actions</t>
  </si>
  <si>
    <t>Organisation: DIRECT</t>
  </si>
  <si>
    <t>Profile picture &gt; Your organizations &gt; DIRECT &gt; Settings &gt; Billing &amp; Licensing &gt; Budgets and alerts &gt; New budget</t>
  </si>
  <si>
    <t>Budget Type = Product-level; Product = Actions; Scope = DIRECT organisation; Amount = $0 now or $60 from month 7; select Receive budget threshold alerts; select Stop usage when limit is reached during the POC.</t>
  </si>
  <si>
    <t>Billing manager, DIRECT owner, platform lead, Finance</t>
  </si>
  <si>
    <t>NET Codespaces</t>
  </si>
  <si>
    <t>Create before POC because the service is available but out of scope.</t>
  </si>
  <si>
    <t>$0/month</t>
  </si>
  <si>
    <t>Product-level budget: Codespaces</t>
  </si>
  <si>
    <t>Budget Type = Product-level; Product = Codespaces; Scope = NET organisation; Amount = $0; enable threshold alerts; select Stop usage when limit is reached. Also restrict or disable Codespaces technically.</t>
  </si>
  <si>
    <t>Identify the user, repository, machine type and environment.</t>
  </si>
  <si>
    <t>Stop new creation and delete stale environments or prebuilds.</t>
  </si>
  <si>
    <t>Block further Codespaces usage.</t>
  </si>
  <si>
    <t>Yes.</t>
  </si>
  <si>
    <t>$0 budget alerts: billing manager, NET owner, engineering owner</t>
  </si>
  <si>
    <t>DIRECT Codespaces</t>
  </si>
  <si>
    <t>Budget Type = Product-level; Product = Codespaces; Scope = DIRECT organisation; Amount = $0; enable threshold alerts; select Stop usage when limit is reached. Also restrict or disable Codespaces technically.</t>
  </si>
  <si>
    <t>$0 budget alerts: billing manager, DIRECT owner, engineering owner</t>
  </si>
  <si>
    <t>Copilot licences</t>
  </si>
  <si>
    <t>Disabled and unassigned</t>
  </si>
  <si>
    <t>Create an internal seat control now; create GitHub licence budget if exposed.</t>
  </si>
  <si>
    <t>$0 incremental POC assignment</t>
  </si>
  <si>
    <t>Enterprise licence / assignment control</t>
  </si>
  <si>
    <t>Whole enterprise or cost centre</t>
  </si>
  <si>
    <t>Keep licences unassigned. If a licence budget is available, set the approved licence count to zero for the POC and enable alerts.</t>
  </si>
  <si>
    <t>Identify accidental assignment and user owner.</t>
  </si>
  <si>
    <t>Revoke assignment and block further assignments.</t>
  </si>
  <si>
    <t>Escalate any ongoing unapproved licence assignment.</t>
  </si>
  <si>
    <t>No. Control through licence assignment.</t>
  </si>
  <si>
    <t>Enterprise admin, AI owner, billing manager, Finance</t>
  </si>
  <si>
    <t>Create now if AI-credit usage is exposed, even while Copilot licences are unassigned.</t>
  </si>
  <si>
    <t>$0 overage</t>
  </si>
  <si>
    <t>Bundled AI credits budget or Copilot AI-credit SKU budget</t>
  </si>
  <si>
    <t>Whole enterprise; user-level universal budget where available</t>
  </si>
  <si>
    <t>Choose Bundled AI credits budget, or the specific Copilot AI-credit SKU. Set enterprise overage to $0. For user-level control, leave user blank to create a universal limit. User-level budgets always hard stop.</t>
  </si>
  <si>
    <t>Identify any user or feature consuming AI credits.</t>
  </si>
  <si>
    <t>Remove exceptions and notify the user and AI owner.</t>
  </si>
  <si>
    <t>Block additional AI-credit usage.</t>
  </si>
  <si>
    <t>Yes for metered AI-credit overage.</t>
  </si>
  <si>
    <t>https://docs.github.com/en/enterprise-cloud@latest/copilot/concepts/billing/budgets-for-usage-based-billing</t>
  </si>
  <si>
    <t>No separate budget unless a chargeable Pages-related SKU appears in Billing &amp; Licensing.</t>
  </si>
  <si>
    <t>$0 planning allowance</t>
  </si>
  <si>
    <t>No separate budget in this model</t>
  </si>
  <si>
    <t>Enterprise or organisation if a future SKU is exposed</t>
  </si>
  <si>
    <t>Keep Pages disabled. Review Billing &amp; Licensing for any Pages-related metered SKU before enablement. If a chargeable SKU appears, create a product/SKU budget using the same 75/90/100 process.</t>
  </si>
  <si>
    <t>Confirm whether a site, build or bandwidth usage was enabled.</t>
  </si>
  <si>
    <t>Disable publishing and investigate ownership.</t>
  </si>
  <si>
    <t>Stop or escalate any chargeable use.</t>
  </si>
  <si>
    <t>Where supported.</t>
  </si>
  <si>
    <t>Billing manager, platform owner, organisation owner</t>
  </si>
  <si>
    <t>Packages, Git LFS and other metered SKUs</t>
  </si>
  <si>
    <t>Create when the SKU is visible or the feature is technically available.</t>
  </si>
  <si>
    <t>$0 unless explicitly approved</t>
  </si>
  <si>
    <t>Product-level or SKU-level budget</t>
  </si>
  <si>
    <t>Enterprise or relevant organisation</t>
  </si>
  <si>
    <t>Create only one clear budget per real exposure. Select the relevant product or SKU, set $0, enable threshold alerts and stop usage where supported. Avoid overlapping product and SKU hard-stop budgets.</t>
  </si>
  <si>
    <t>Identify the repository, package or transfer source.</t>
  </si>
  <si>
    <t>Restrict usage and remove stale content.</t>
  </si>
  <si>
    <t>Stop usage or escalate immediately.</t>
  </si>
  <si>
    <t>Yes where supported.</t>
  </si>
  <si>
    <t>Included usage alerts</t>
  </si>
  <si>
    <t>Enable regardless of dollar budgets</t>
  </si>
  <si>
    <t>Enable before the POC and keep enabled.</t>
  </si>
  <si>
    <t>No dollar amount; notification control</t>
  </si>
  <si>
    <t>Enterprise account</t>
  </si>
  <si>
    <t>Profile picture &gt; Your enterprises &gt; select the enterprise &gt; Billing &amp; Licensing &gt; Budgets and alerts</t>
  </si>
  <si>
    <t>Under Included usage alerts, select Receive alerts when included usage reaches 90% and 100%. This covers Actions minutes/storage, Packages bandwidth/storage, Git LFS bandwidth/storage, and Codespaces core hours/storage.</t>
  </si>
  <si>
    <t>Not applicable: included-usage alerts start at 90%.</t>
  </si>
  <si>
    <t>Review remaining allowance and month-end overage risk.</t>
  </si>
  <si>
    <t>Pause or stop the relevant service before paid overage occurs.</t>
  </si>
  <si>
    <t>Not a hard-stop control.</t>
  </si>
  <si>
    <t>Enterprise owner, organisation owners and billing managers</t>
  </si>
  <si>
    <t>Step-by-step process in GitHub Enterprise Cloud</t>
  </si>
  <si>
    <t>1</t>
  </si>
  <si>
    <t>Open the correct account</t>
  </si>
  <si>
    <t>For enterprise controls, open the enterprise. For NET- or DIRECT-specific controls, open that organisation.</t>
  </si>
  <si>
    <t>2</t>
  </si>
  <si>
    <t>Navigate to billing</t>
  </si>
  <si>
    <t>Enterprise: Billing &amp; Licensing tab. Organisation: Settings &gt; Billing &amp; Licensing.</t>
  </si>
  <si>
    <t>3</t>
  </si>
  <si>
    <t>Open Budgets and alerts</t>
  </si>
  <si>
    <t>Review existing budgets first. Do not create an overlapping hard-stop budget for the same product and usage scope.</t>
  </si>
  <si>
    <t>4</t>
  </si>
  <si>
    <t>Select New budget</t>
  </si>
  <si>
    <t>Choose Product-level budget, SKU-level budget, or Bundled AI credits budget.</t>
  </si>
  <si>
    <t>5</t>
  </si>
  <si>
    <t>Set scope</t>
  </si>
  <si>
    <t>Choose Enterprise, NET organisation, DIRECT organisation, repository, cost centre, or users, as appropriate.</t>
  </si>
  <si>
    <t>6</t>
  </si>
  <si>
    <t>Set amount</t>
  </si>
  <si>
    <t>Use $0 for disabled/out-of-scope metered products. Before Actions month 7, replace $0 with the approved NET and DIRECT allowances.</t>
  </si>
  <si>
    <t>7</t>
  </si>
  <si>
    <t>Choose enforcement</t>
  </si>
  <si>
    <t>For POC metered services, select Stop usage when budget limit is reached where available and operationally acceptable.</t>
  </si>
  <si>
    <t>8</t>
  </si>
  <si>
    <t>Enable alerts</t>
  </si>
  <si>
    <t>Select Receive budget threshold alerts. GitHub sends alerts at 75%, 90% and 100% by email and displays a banner in GitHub.</t>
  </si>
  <si>
    <t>9</t>
  </si>
  <si>
    <t>Set recipients</t>
  </si>
  <si>
    <t>Add the billing manager, enterprise/organisation owner, Krishna, platform owner and Finance. Do not rely on one administrator.</t>
  </si>
  <si>
    <t>10</t>
  </si>
  <si>
    <t>Enable included usage alerts</t>
  </si>
  <si>
    <t>On the same page, enable alerts at 90% and 100% of included usage for Actions, Packages, Git LFS and Codespaces.</t>
  </si>
  <si>
    <t>11</t>
  </si>
  <si>
    <t>Record evidence</t>
  </si>
  <si>
    <t>Capture a screenshot or export showing product, scope, amount, hard-stop setting and recipients. Link it to the POC Jira/decision record.</t>
  </si>
  <si>
    <t>12</t>
  </si>
  <si>
    <t>Operate the control</t>
  </si>
  <si>
    <t>Review billing daily during active tests, weekly otherwise, and complete a Finance pre-close before invoice issue.</t>
  </si>
  <si>
    <t>Important POC notes</t>
  </si>
  <si>
    <t>• Budgets apply only to metered usage from the date they are created. Create the $0 controls before the POC starts because earlier usage is not covered retroactively.</t>
  </si>
  <si>
    <t>• If Stop usage when budget limit is reached is not selected, GitHub sends alerts but does not stop consumption.</t>
  </si>
  <si>
    <t>• Budget threshold alerts and included-usage alerts are different. Enable both.</t>
  </si>
  <si>
    <t>• For the base 40 enterprise seats, the strongest control is approved seat assignment through Okta/Azure AD plus weekly reconciliation, not a repository quota.</t>
  </si>
  <si>
    <t>• Teams should be used for access mapping. For this POC, budgets should stay at enterprise or organisation level unless one repository has a separately approved cost owner.</t>
  </si>
  <si>
    <t>Implementation and Month-End Assurance Checklist</t>
  </si>
  <si>
    <t>ID</t>
  </si>
  <si>
    <t>When</t>
  </si>
  <si>
    <t>Check</t>
  </si>
  <si>
    <t>Expected evidence</t>
  </si>
  <si>
    <t>Status</t>
  </si>
  <si>
    <t>Escalation trigger</t>
  </si>
  <si>
    <t>Jira / decision</t>
  </si>
  <si>
    <t>01</t>
  </si>
  <si>
    <t>Before onboarding</t>
  </si>
  <si>
    <t>Confirm 40-seat PO baseline</t>
  </si>
  <si>
    <t>PO rate $20/user/month and billing cycle recorded</t>
  </si>
  <si>
    <t>Finance + Product owner</t>
  </si>
  <si>
    <t>Open</t>
  </si>
  <si>
    <t>Price or entitlement unclear</t>
  </si>
  <si>
    <t>02</t>
  </si>
  <si>
    <t>Confirm NET and DIRECT allocation</t>
  </si>
  <si>
    <t>40 and 80 repositories; user/team mapping documented</t>
  </si>
  <si>
    <t>Enterprise admin</t>
  </si>
  <si>
    <t>Unowned repository/team</t>
  </si>
  <si>
    <t>03</t>
  </si>
  <si>
    <t>Validate Okta/Azure AD SSO and provisioning</t>
  </si>
  <si>
    <t>Group-to-organisation/team mapping; deprovision test</t>
  </si>
  <si>
    <t>IAM owner</t>
  </si>
  <si>
    <t>User can access after deprovision</t>
  </si>
  <si>
    <t>04</t>
  </si>
  <si>
    <t>Before POC</t>
  </si>
  <si>
    <t>Disable non-repository products</t>
  </si>
  <si>
    <t>Actions, Codespaces, Copilot, Pages and other metered features verified off</t>
  </si>
  <si>
    <t>Any out-of-scope feature usable</t>
  </si>
  <si>
    <t>05</t>
  </si>
  <si>
    <t>Create $0 budgets</t>
  </si>
  <si>
    <t>Organisation Actions/Codespaces and enterprise AI/other budgets captured</t>
  </si>
  <si>
    <t>Billing manager</t>
  </si>
  <si>
    <t>Metered exposure without budget</t>
  </si>
  <si>
    <t>06</t>
  </si>
  <si>
    <t>Daily during active POC</t>
  </si>
  <si>
    <t>Review billing dashboard</t>
  </si>
  <si>
    <t>Spend by enterprise, organisation, product and SKU</t>
  </si>
  <si>
    <t>Krishna</t>
  </si>
  <si>
    <t>Unknown SKU or &gt;20% daily jump</t>
  </si>
  <si>
    <t>07</t>
  </si>
  <si>
    <t>Reconcile seats with Okta/Azure AD</t>
  </si>
  <si>
    <t>Assigned vs approved users; leavers removed</t>
  </si>
  <si>
    <t>More than 40 assigned seats</t>
  </si>
  <si>
    <t>08</t>
  </si>
  <si>
    <t>Prepare Actions budget</t>
  </si>
  <si>
    <t>Pilot workload, included minutes and runner strategy confirmed</t>
  </si>
  <si>
    <t>Actions enablement without agreed budget</t>
  </si>
  <si>
    <t>09</t>
  </si>
  <si>
    <t>Approve Actions rollout</t>
  </si>
  <si>
    <t>NET and DIRECT budgets, owners and stop-usage controls live</t>
  </si>
  <si>
    <t>Management + Finance</t>
  </si>
  <si>
    <t>No signed cost envelope</t>
  </si>
  <si>
    <t>Before month end</t>
  </si>
  <si>
    <t>Invoice pre-close</t>
  </si>
  <si>
    <t>Forecast reconciled to billing export</t>
  </si>
  <si>
    <t>Finance + Krishna</t>
  </si>
  <si>
    <t>&gt;10% unexplained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</si>
</sst>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&quot;($&quot;#,##0.00\);\-"/>
  </numFmts>
  <fonts count="13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0"/>
      <name val="Arial"/>
      <family val="2"/>
    </font>
    <font>
      <b/>
      <sz val="11"/>
      <name val="Calibri"/>
      <charset val="1"/>
    </font>
    <font>
      <b/>
      <sz val="11"/>
      <color rgb="FF17365D"/>
      <name val="Cambria"/>
      <charset val="1"/>
    </font>
    <font>
      <b/>
      <sz val="18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9"/>
      <color rgb="FF008000"/>
      <name val="Cambria"/>
      <charset val="1"/>
    </font>
    <font>
      <b/>
      <sz val="11"/>
      <name val="Cambria"/>
      <charset val="1"/>
    </font>
    <font>
      <b/>
      <sz val="11"/>
      <color rgb="FF000000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28C28"/>
        <bgColor rgb="FFFF8080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E2F0D9"/>
      </patternFill>
    </fill>
    <fill>
      <patternFill patternType="solid">
        <fgColor rgb="FFE4DFEC"/>
        <bgColor rgb="FFE7E6E6"/>
      </patternFill>
    </fill>
    <fill>
      <patternFill patternType="solid">
        <fgColor rgb="FFE7E6E6"/>
        <bgColor rgb="FFE4DFEC"/>
      </patternFill>
    </fill>
    <fill>
      <patternFill patternType="solid">
        <fgColor rgb="FFDDEBF7"/>
        <bgColor rgb="FFE7E6E6"/>
      </patternFill>
    </fill>
    <fill>
      <patternFill patternType="solid">
        <fgColor rgb="FF7030A0"/>
        <bgColor rgb="FF993366"/>
      </patternFill>
    </fill>
    <fill>
      <patternFill patternType="solid">
        <fgColor rgb="FFF4B183"/>
        <bgColor rgb="FFFF9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1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6" fillId="8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164" fontId="3" fillId="5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4" fontId="0" fillId="6" borderId="0" xfId="0" applyNumberFormat="1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9" fillId="2" borderId="0" xfId="0" applyFont="1" applyFill="1" applyAlignment="1">
      <alignment vertical="center" wrapText="1"/>
    </xf>
    <xf numFmtId="0" fontId="10" fillId="0" borderId="0" xfId="0" applyFont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9" fillId="9" borderId="0" xfId="0" applyFont="1" applyFill="1" applyAlignment="1"/>
    <xf numFmtId="0" fontId="12" fillId="1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78787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4B183"/>
      <rgbColor rgb="FF4A7EBB"/>
      <rgbColor rgb="FF33CCCC"/>
      <rgbColor rgb="FF99CC00"/>
      <rgbColor rgb="FFFFCC00"/>
      <rgbColor rgb="FFF28C28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Cost: Current vs Actions Rollout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'12-Month Prorated Plan'!O3</c:f>
              <c:strCache>
                <c:ptCount val="1"/>
                <c:pt idx="0">
                  <c:v>Total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E2D-4C52-9901-603049C7728E}"/>
              </c:ext>
            </c:extLst>
          </c:dPt>
          <c:dPt>
            <c:idx val="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E2D-4C52-9901-603049C7728E}"/>
              </c:ext>
            </c:extLst>
          </c:dPt>
          <c:dPt>
            <c:idx val="2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E2D-4C52-9901-603049C7728E}"/>
              </c:ext>
            </c:extLst>
          </c:dPt>
          <c:dPt>
            <c:idx val="3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E2D-4C52-9901-603049C7728E}"/>
              </c:ext>
            </c:extLst>
          </c:dPt>
          <c:dPt>
            <c:idx val="4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E2D-4C52-9901-603049C7728E}"/>
              </c:ext>
            </c:extLst>
          </c:dPt>
          <c:dPt>
            <c:idx val="5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E2D-4C52-9901-603049C7728E}"/>
              </c:ext>
            </c:extLst>
          </c:dPt>
          <c:dPt>
            <c:idx val="6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E2D-4C52-9901-603049C7728E}"/>
              </c:ext>
            </c:extLst>
          </c:dPt>
          <c:dPt>
            <c:idx val="7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E2D-4C52-9901-603049C7728E}"/>
              </c:ext>
            </c:extLst>
          </c:dPt>
          <c:dPt>
            <c:idx val="8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E2D-4C52-9901-603049C7728E}"/>
              </c:ext>
            </c:extLst>
          </c:dPt>
          <c:dPt>
            <c:idx val="9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E2D-4C52-9901-603049C7728E}"/>
              </c:ext>
            </c:extLst>
          </c:dPt>
          <c:dPt>
            <c:idx val="1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1E2D-4C52-9901-603049C7728E}"/>
              </c:ext>
            </c:extLst>
          </c:dPt>
          <c:dPt>
            <c:idx val="1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1E2D-4C52-9901-603049C772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'12-Month Prorated Plan'!$A$4:$A$15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'12-Month Prorated Plan'!$O$4:$O$15</c:f>
              <c:numCache>
                <c:formatCode>\$#,##0.00;[Red]"($"#,##0.00\);\-</c:formatCode>
                <c:ptCount val="12"/>
                <c:pt idx="0">
                  <c:v>803.6</c:v>
                </c:pt>
                <c:pt idx="1">
                  <c:v>803.6</c:v>
                </c:pt>
                <c:pt idx="2">
                  <c:v>803.6</c:v>
                </c:pt>
                <c:pt idx="3">
                  <c:v>803.6</c:v>
                </c:pt>
                <c:pt idx="4">
                  <c:v>803.6</c:v>
                </c:pt>
                <c:pt idx="5">
                  <c:v>803.6</c:v>
                </c:pt>
                <c:pt idx="6">
                  <c:v>923.6</c:v>
                </c:pt>
                <c:pt idx="7">
                  <c:v>923.6</c:v>
                </c:pt>
                <c:pt idx="8">
                  <c:v>923.6</c:v>
                </c:pt>
                <c:pt idx="9">
                  <c:v>923.6</c:v>
                </c:pt>
                <c:pt idx="10">
                  <c:v>923.6</c:v>
                </c:pt>
                <c:pt idx="11">
                  <c:v>923.6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1E2D-4C52-9901-603049C77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831461"/>
        <c:axId val="19730202"/>
      </c:lineChart>
      <c:catAx>
        <c:axId val="6183146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9730202"/>
        <c:crosses val="autoZero"/>
        <c:auto val="1"/>
        <c:lblAlgn val="ctr"/>
        <c:lblOffset val="100"/>
        <c:noMultiLvlLbl val="0"/>
      </c:catAx>
      <c:valAx>
        <c:axId val="19730202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[Red]&quot;($&quot;#,##0.00\);\-" sourceLinked="1"/>
        <c:majorTickMark val="none"/>
        <c:minorTickMark val="none"/>
        <c:tickLblPos val="nextTo"/>
        <c:crossAx val="618314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4</xdr:col>
      <xdr:colOff>1037160</xdr:colOff>
      <xdr:row>36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4" customWidth="1"/>
    <col min="2" max="2" width="23" customWidth="1"/>
    <col min="3" max="3" width="24" customWidth="1"/>
    <col min="4" max="6" width="20" customWidth="1"/>
    <col min="7" max="7" width="24" customWidth="1"/>
    <col min="8" max="8" width="22" customWidth="1"/>
    <col min="9" max="9" width="45" customWidth="1"/>
  </cols>
  <sheetData>
    <row r="1" spans="1:9" ht="41.25" customHeight="1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15" customHeight="1">
      <c r="A3" s="6" t="s">
        <v>1</v>
      </c>
      <c r="B3" s="6"/>
      <c r="C3" s="6"/>
      <c r="D3" s="6"/>
      <c r="E3" s="6"/>
      <c r="F3" s="6"/>
      <c r="G3" s="6"/>
      <c r="H3" s="6"/>
      <c r="I3" s="6"/>
    </row>
    <row r="4" spans="1:9" ht="23.85">
      <c r="A4" s="8" t="s">
        <v>2</v>
      </c>
      <c r="B4" s="8">
        <v>40</v>
      </c>
      <c r="C4" s="8" t="s">
        <v>3</v>
      </c>
      <c r="D4" s="8" t="s">
        <v>4</v>
      </c>
      <c r="E4" s="8" t="s">
        <v>5</v>
      </c>
      <c r="F4" s="10">
        <f>B4*20</f>
        <v>800</v>
      </c>
      <c r="G4" s="8" t="s">
        <v>6</v>
      </c>
      <c r="H4" s="10">
        <f>F4*12</f>
        <v>9600</v>
      </c>
      <c r="I4" s="8" t="s">
        <v>7</v>
      </c>
    </row>
    <row r="5" spans="1:9">
      <c r="A5" s="8" t="s">
        <v>8</v>
      </c>
      <c r="B5" s="8" t="s">
        <v>9</v>
      </c>
      <c r="C5" s="8" t="s">
        <v>10</v>
      </c>
      <c r="D5" s="8">
        <v>40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</row>
    <row r="6" spans="1:9">
      <c r="A6" s="8" t="s">
        <v>16</v>
      </c>
      <c r="B6" s="8" t="s">
        <v>9</v>
      </c>
      <c r="C6" s="8" t="s">
        <v>10</v>
      </c>
      <c r="D6" s="8">
        <v>80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</row>
    <row r="7" spans="1:9">
      <c r="A7" s="8"/>
      <c r="B7" s="8"/>
      <c r="C7" s="8"/>
      <c r="D7" s="8"/>
      <c r="E7" s="8"/>
      <c r="F7" s="8"/>
      <c r="G7" s="8"/>
      <c r="H7" s="8"/>
      <c r="I7" s="8"/>
    </row>
    <row r="8" spans="1:9">
      <c r="A8" s="8"/>
      <c r="B8" s="8"/>
      <c r="C8" s="8"/>
      <c r="D8" s="8"/>
      <c r="E8" s="8"/>
      <c r="F8" s="8"/>
      <c r="G8" s="8"/>
      <c r="H8" s="8"/>
      <c r="I8" s="8"/>
    </row>
    <row r="9" spans="1:9" ht="15" customHeight="1">
      <c r="A9" s="6" t="s">
        <v>17</v>
      </c>
      <c r="B9" s="6"/>
      <c r="C9" s="6"/>
      <c r="D9" s="6"/>
      <c r="E9" s="6"/>
      <c r="F9" s="6"/>
      <c r="G9" s="6"/>
      <c r="H9" s="6"/>
      <c r="I9" s="6"/>
    </row>
    <row r="10" spans="1:9">
      <c r="A10" s="11" t="s">
        <v>18</v>
      </c>
      <c r="B10" s="11" t="s">
        <v>19</v>
      </c>
      <c r="C10" s="11" t="s">
        <v>18</v>
      </c>
      <c r="D10" s="11" t="s">
        <v>19</v>
      </c>
      <c r="E10" s="11" t="s">
        <v>18</v>
      </c>
      <c r="F10" s="11" t="s">
        <v>19</v>
      </c>
      <c r="G10" s="11" t="s">
        <v>18</v>
      </c>
      <c r="H10" s="11" t="s">
        <v>19</v>
      </c>
      <c r="I10" s="11" t="s">
        <v>20</v>
      </c>
    </row>
    <row r="11" spans="1:9" ht="23.85">
      <c r="A11" s="8" t="s">
        <v>21</v>
      </c>
      <c r="B11" s="8" t="s">
        <v>14</v>
      </c>
      <c r="C11" s="8" t="s">
        <v>22</v>
      </c>
      <c r="D11" s="8" t="s">
        <v>23</v>
      </c>
      <c r="E11" s="8" t="s">
        <v>24</v>
      </c>
      <c r="F11" s="12">
        <f>Assumptions!B4*Assumptions!B5</f>
        <v>800</v>
      </c>
      <c r="G11" s="8" t="s">
        <v>25</v>
      </c>
      <c r="H11" s="12">
        <f>MAX(Assumptions!B4*Assumptions!B8-Assumptions!B10,0)*Assumptions!B9+Assumptions!B11</f>
        <v>120</v>
      </c>
      <c r="I11" s="8" t="s">
        <v>26</v>
      </c>
    </row>
    <row r="12" spans="1:9" ht="23.85">
      <c r="A12" s="8" t="s">
        <v>27</v>
      </c>
      <c r="B12" s="12">
        <f>Assumptions!B4*Assumptions!B5*12</f>
        <v>9600</v>
      </c>
      <c r="C12" s="8" t="s">
        <v>28</v>
      </c>
      <c r="D12" s="12">
        <f>H11*6</f>
        <v>720</v>
      </c>
      <c r="E12" s="8" t="s">
        <v>29</v>
      </c>
      <c r="F12" s="12">
        <f>B12+D12</f>
        <v>10320</v>
      </c>
      <c r="G12" s="8" t="s">
        <v>30</v>
      </c>
      <c r="H12" s="12" t="s">
        <v>31</v>
      </c>
      <c r="I12" s="8" t="s">
        <v>32</v>
      </c>
    </row>
    <row r="13" spans="1:9">
      <c r="A13" s="8"/>
      <c r="B13" s="8"/>
      <c r="C13" s="8"/>
      <c r="D13" s="8"/>
      <c r="E13" s="8"/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/>
      <c r="G14" s="8"/>
      <c r="H14" s="8"/>
      <c r="I14" s="8"/>
    </row>
    <row r="15" spans="1:9" ht="15" customHeight="1">
      <c r="A15" s="6" t="s">
        <v>33</v>
      </c>
      <c r="B15" s="6"/>
      <c r="C15" s="6"/>
      <c r="D15" s="6"/>
      <c r="E15" s="6"/>
      <c r="F15" s="6"/>
      <c r="G15" s="6"/>
      <c r="H15" s="6"/>
      <c r="I15" s="6"/>
    </row>
    <row r="16" spans="1:9" ht="33.75" customHeight="1">
      <c r="A16" s="5" t="s">
        <v>34</v>
      </c>
      <c r="B16" s="5"/>
      <c r="C16" s="5"/>
      <c r="D16" s="5"/>
      <c r="E16" s="5"/>
      <c r="F16" s="5"/>
      <c r="G16" s="5"/>
      <c r="H16" s="5"/>
      <c r="I16" s="5"/>
    </row>
    <row r="17" spans="1:9" ht="33.75" customHeight="1">
      <c r="A17" s="5" t="s">
        <v>35</v>
      </c>
      <c r="B17" s="5"/>
      <c r="C17" s="5"/>
      <c r="D17" s="5"/>
      <c r="E17" s="5"/>
      <c r="F17" s="5"/>
      <c r="G17" s="5"/>
      <c r="H17" s="5"/>
      <c r="I17" s="5"/>
    </row>
    <row r="18" spans="1:9" ht="33.75" customHeight="1">
      <c r="A18" s="5" t="s">
        <v>36</v>
      </c>
      <c r="B18" s="5"/>
      <c r="C18" s="5"/>
      <c r="D18" s="5"/>
      <c r="E18" s="5"/>
      <c r="F18" s="5"/>
      <c r="G18" s="5"/>
      <c r="H18" s="5"/>
      <c r="I18" s="5"/>
    </row>
    <row r="19" spans="1:9" ht="33.75" customHeight="1">
      <c r="A19" s="5" t="s">
        <v>37</v>
      </c>
      <c r="B19" s="5"/>
      <c r="C19" s="5"/>
      <c r="D19" s="5"/>
      <c r="E19" s="5"/>
      <c r="F19" s="5"/>
      <c r="G19" s="5"/>
      <c r="H19" s="5"/>
      <c r="I19" s="5"/>
    </row>
    <row r="20" spans="1:9">
      <c r="A20" s="8"/>
      <c r="B20" s="8"/>
      <c r="C20" s="8"/>
      <c r="D20" s="8"/>
      <c r="E20" s="8"/>
      <c r="F20" s="8"/>
      <c r="G20" s="8"/>
      <c r="H20" s="8"/>
      <c r="I20" s="8"/>
    </row>
    <row r="21" spans="1:9">
      <c r="A21" s="8"/>
      <c r="B21" s="8"/>
      <c r="C21" s="8"/>
      <c r="D21" s="8"/>
      <c r="E21" s="8"/>
      <c r="F21" s="8"/>
      <c r="G21" s="8"/>
      <c r="H21" s="8"/>
      <c r="I21" s="8"/>
    </row>
    <row r="22" spans="1:9">
      <c r="A22" s="9" t="s">
        <v>38</v>
      </c>
      <c r="B22" s="8"/>
      <c r="C22" s="8"/>
      <c r="D22" s="8"/>
      <c r="E22" s="8"/>
      <c r="F22" s="8"/>
      <c r="G22" s="8"/>
      <c r="H22" s="8"/>
      <c r="I22" s="8"/>
    </row>
    <row r="23" spans="1:9" ht="15" customHeight="1">
      <c r="A23" s="13" t="s">
        <v>39</v>
      </c>
      <c r="B23" s="5" t="s">
        <v>40</v>
      </c>
      <c r="C23" s="5"/>
      <c r="D23" s="5"/>
      <c r="E23" s="8"/>
      <c r="F23" s="8"/>
      <c r="G23" s="8"/>
      <c r="H23" s="8"/>
      <c r="I23" s="8"/>
    </row>
    <row r="24" spans="1:9" ht="15" customHeight="1">
      <c r="A24" s="14" t="s">
        <v>41</v>
      </c>
      <c r="B24" s="5" t="s">
        <v>42</v>
      </c>
      <c r="C24" s="5"/>
      <c r="D24" s="5"/>
      <c r="E24" s="8"/>
      <c r="F24" s="8"/>
      <c r="G24" s="8"/>
      <c r="H24" s="8"/>
      <c r="I24" s="8"/>
    </row>
    <row r="25" spans="1:9" ht="15" customHeight="1">
      <c r="A25" s="15" t="s">
        <v>43</v>
      </c>
      <c r="B25" s="5" t="s">
        <v>44</v>
      </c>
      <c r="C25" s="5"/>
      <c r="D25" s="5"/>
      <c r="E25" s="8"/>
      <c r="F25" s="8"/>
      <c r="G25" s="8"/>
      <c r="H25" s="8"/>
      <c r="I25" s="8"/>
    </row>
    <row r="26" spans="1:9" ht="15" customHeight="1">
      <c r="A26" s="16" t="s">
        <v>45</v>
      </c>
      <c r="B26" s="5" t="s">
        <v>46</v>
      </c>
      <c r="C26" s="5"/>
      <c r="D26" s="5"/>
      <c r="E26" s="8"/>
      <c r="F26" s="8"/>
      <c r="G26" s="8"/>
      <c r="H26" s="8"/>
      <c r="I26" s="8"/>
    </row>
  </sheetData>
  <autoFilter ref="A1:I26" xr:uid="{00000000-0009-0000-0000-000000000000}"/>
  <mergeCells count="12">
    <mergeCell ref="B25:D25"/>
    <mergeCell ref="B26:D26"/>
    <mergeCell ref="A17:I17"/>
    <mergeCell ref="A18:I18"/>
    <mergeCell ref="A19:I19"/>
    <mergeCell ref="B23:D23"/>
    <mergeCell ref="B24:D24"/>
    <mergeCell ref="A1:I1"/>
    <mergeCell ref="A3:I3"/>
    <mergeCell ref="A9:I9"/>
    <mergeCell ref="A15:I15"/>
    <mergeCell ref="A16:I16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8" customWidth="1"/>
    <col min="2" max="2" width="26" customWidth="1"/>
    <col min="3" max="4" width="18" customWidth="1"/>
    <col min="5" max="5" width="23" customWidth="1"/>
    <col min="6" max="6" width="26" customWidth="1"/>
    <col min="7" max="7" width="30" customWidth="1"/>
    <col min="8" max="8" width="28" customWidth="1"/>
    <col min="9" max="9" width="42" customWidth="1"/>
  </cols>
  <sheetData>
    <row r="1" spans="1:9" ht="22.15" customHeight="1">
      <c r="A1" s="7" t="s">
        <v>47</v>
      </c>
      <c r="B1" s="7"/>
      <c r="C1" s="7"/>
      <c r="D1" s="7"/>
      <c r="E1" s="7"/>
      <c r="F1" s="7"/>
      <c r="G1" s="7"/>
      <c r="H1" s="7"/>
      <c r="I1" s="7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11" t="s">
        <v>48</v>
      </c>
      <c r="B3" s="11" t="s">
        <v>49</v>
      </c>
      <c r="C3" s="11" t="s">
        <v>50</v>
      </c>
      <c r="D3" s="11" t="s">
        <v>10</v>
      </c>
      <c r="E3" s="11" t="s">
        <v>51</v>
      </c>
      <c r="F3" s="11" t="s">
        <v>52</v>
      </c>
      <c r="G3" s="11" t="s">
        <v>53</v>
      </c>
      <c r="H3" s="11" t="s">
        <v>54</v>
      </c>
      <c r="I3" s="11" t="s">
        <v>55</v>
      </c>
    </row>
    <row r="4" spans="1:9">
      <c r="A4" s="16" t="s">
        <v>56</v>
      </c>
      <c r="B4" s="8" t="s">
        <v>57</v>
      </c>
      <c r="C4" s="8">
        <v>40</v>
      </c>
      <c r="D4" s="8">
        <v>120</v>
      </c>
      <c r="E4" s="8" t="s">
        <v>58</v>
      </c>
      <c r="F4" s="8" t="s">
        <v>59</v>
      </c>
      <c r="G4" s="8" t="s">
        <v>60</v>
      </c>
      <c r="H4" s="8" t="s">
        <v>61</v>
      </c>
      <c r="I4" s="8" t="s">
        <v>62</v>
      </c>
    </row>
    <row r="5" spans="1:9" ht="23.85">
      <c r="A5" s="16" t="s">
        <v>63</v>
      </c>
      <c r="B5" s="8" t="s">
        <v>64</v>
      </c>
      <c r="C5" s="8">
        <v>20</v>
      </c>
      <c r="D5" s="8">
        <v>40</v>
      </c>
      <c r="E5" s="8" t="s">
        <v>65</v>
      </c>
      <c r="F5" s="8" t="s">
        <v>59</v>
      </c>
      <c r="G5" s="8" t="s">
        <v>66</v>
      </c>
      <c r="H5" s="8" t="s">
        <v>67</v>
      </c>
      <c r="I5" s="8" t="s">
        <v>68</v>
      </c>
    </row>
    <row r="6" spans="1:9" ht="23.85">
      <c r="A6" s="16" t="s">
        <v>63</v>
      </c>
      <c r="B6" s="8" t="s">
        <v>69</v>
      </c>
      <c r="C6" s="8">
        <v>20</v>
      </c>
      <c r="D6" s="8">
        <v>80</v>
      </c>
      <c r="E6" s="8" t="s">
        <v>65</v>
      </c>
      <c r="F6" s="8" t="s">
        <v>59</v>
      </c>
      <c r="G6" s="8" t="s">
        <v>66</v>
      </c>
      <c r="H6" s="8" t="s">
        <v>67</v>
      </c>
      <c r="I6" s="8" t="s">
        <v>68</v>
      </c>
    </row>
    <row r="7" spans="1:9">
      <c r="A7" s="8"/>
      <c r="B7" s="8"/>
      <c r="C7" s="8"/>
      <c r="D7" s="8"/>
      <c r="E7" s="8"/>
      <c r="F7" s="8"/>
      <c r="G7" s="8"/>
      <c r="H7" s="8"/>
      <c r="I7" s="8"/>
    </row>
    <row r="8" spans="1:9">
      <c r="A8" s="8"/>
      <c r="B8" s="8"/>
      <c r="C8" s="8"/>
      <c r="D8" s="8"/>
      <c r="E8" s="8"/>
      <c r="F8" s="8"/>
      <c r="G8" s="8"/>
      <c r="H8" s="8"/>
      <c r="I8" s="8"/>
    </row>
    <row r="9" spans="1:9" ht="15" customHeight="1">
      <c r="A9" s="6" t="s">
        <v>70</v>
      </c>
      <c r="B9" s="6"/>
      <c r="C9" s="6"/>
      <c r="D9" s="6"/>
      <c r="E9" s="6"/>
      <c r="F9" s="6"/>
      <c r="G9" s="6"/>
      <c r="H9" s="6"/>
      <c r="I9" s="6"/>
    </row>
    <row r="10" spans="1:9" ht="15" customHeight="1">
      <c r="A10" s="5" t="s">
        <v>71</v>
      </c>
      <c r="B10" s="5"/>
      <c r="C10" s="5"/>
      <c r="D10" s="5"/>
      <c r="E10" s="5"/>
      <c r="F10" s="5"/>
      <c r="G10" s="5"/>
      <c r="H10" s="5"/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</sheetData>
  <autoFilter ref="A1:I11" xr:uid="{00000000-0009-0000-0000-000001000000}"/>
  <mergeCells count="3">
    <mergeCell ref="A1:I1"/>
    <mergeCell ref="A9:I9"/>
    <mergeCell ref="A10:I11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42" customWidth="1"/>
    <col min="2" max="4" width="18" customWidth="1"/>
    <col min="5" max="5" width="16" customWidth="1"/>
    <col min="6" max="6" width="28" customWidth="1"/>
    <col min="7" max="7" width="55" customWidth="1"/>
  </cols>
  <sheetData>
    <row r="1" spans="1:7" ht="22.15" customHeight="1">
      <c r="A1" s="7" t="s">
        <v>72</v>
      </c>
      <c r="B1" s="7"/>
      <c r="C1" s="7"/>
      <c r="D1" s="7"/>
      <c r="E1" s="7"/>
      <c r="F1" s="7"/>
      <c r="G1" s="7"/>
    </row>
    <row r="2" spans="1:7">
      <c r="A2" s="8"/>
      <c r="B2" s="8"/>
      <c r="C2" s="8"/>
      <c r="D2" s="8"/>
      <c r="E2" s="8"/>
      <c r="F2" s="8"/>
      <c r="G2" s="8"/>
    </row>
    <row r="3" spans="1:7">
      <c r="A3" s="11" t="s">
        <v>73</v>
      </c>
      <c r="B3" s="11" t="s">
        <v>19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</row>
    <row r="4" spans="1:7">
      <c r="A4" s="8" t="s">
        <v>79</v>
      </c>
      <c r="B4" s="17">
        <v>40</v>
      </c>
      <c r="C4" s="8" t="s">
        <v>80</v>
      </c>
      <c r="D4" s="16" t="s">
        <v>81</v>
      </c>
      <c r="E4" s="8">
        <v>1</v>
      </c>
      <c r="F4" s="8" t="s">
        <v>82</v>
      </c>
      <c r="G4" s="8" t="s">
        <v>83</v>
      </c>
    </row>
    <row r="5" spans="1:7">
      <c r="A5" s="8" t="s">
        <v>84</v>
      </c>
      <c r="B5" s="18">
        <v>20</v>
      </c>
      <c r="C5" s="8" t="s">
        <v>85</v>
      </c>
      <c r="D5" s="16" t="s">
        <v>81</v>
      </c>
      <c r="E5" s="8">
        <v>1</v>
      </c>
      <c r="F5" s="8" t="s">
        <v>86</v>
      </c>
      <c r="G5" s="8" t="s">
        <v>87</v>
      </c>
    </row>
    <row r="6" spans="1:7">
      <c r="A6" s="8" t="s">
        <v>88</v>
      </c>
      <c r="B6" s="17">
        <v>12</v>
      </c>
      <c r="C6" s="8" t="s">
        <v>89</v>
      </c>
      <c r="D6" s="16" t="s">
        <v>81</v>
      </c>
      <c r="E6" s="8">
        <v>1</v>
      </c>
      <c r="F6" s="8" t="s">
        <v>90</v>
      </c>
      <c r="G6" s="8" t="s">
        <v>91</v>
      </c>
    </row>
    <row r="7" spans="1:7">
      <c r="A7" s="8" t="s">
        <v>92</v>
      </c>
      <c r="B7" s="17">
        <v>7</v>
      </c>
      <c r="C7" s="8" t="s">
        <v>93</v>
      </c>
      <c r="D7" s="16" t="s">
        <v>94</v>
      </c>
      <c r="E7" s="8">
        <v>7</v>
      </c>
      <c r="F7" s="8" t="s">
        <v>95</v>
      </c>
      <c r="G7" s="8" t="s">
        <v>96</v>
      </c>
    </row>
    <row r="8" spans="1:7">
      <c r="A8" s="8" t="s">
        <v>97</v>
      </c>
      <c r="B8" s="17">
        <v>500</v>
      </c>
      <c r="C8" s="8" t="s">
        <v>98</v>
      </c>
      <c r="D8" s="16" t="s">
        <v>94</v>
      </c>
      <c r="E8" s="8">
        <v>7</v>
      </c>
      <c r="F8" s="8" t="s">
        <v>90</v>
      </c>
      <c r="G8" s="8" t="s">
        <v>99</v>
      </c>
    </row>
    <row r="9" spans="1:7">
      <c r="A9" s="8" t="s">
        <v>100</v>
      </c>
      <c r="B9" s="18">
        <v>6.0000000000000001E-3</v>
      </c>
      <c r="C9" s="8" t="s">
        <v>85</v>
      </c>
      <c r="D9" s="16" t="s">
        <v>94</v>
      </c>
      <c r="E9" s="8">
        <v>7</v>
      </c>
      <c r="F9" s="8" t="s">
        <v>101</v>
      </c>
      <c r="G9" s="8" t="s">
        <v>102</v>
      </c>
    </row>
    <row r="10" spans="1:7">
      <c r="A10" s="8" t="s">
        <v>103</v>
      </c>
      <c r="B10" s="17">
        <v>0</v>
      </c>
      <c r="C10" s="8" t="s">
        <v>98</v>
      </c>
      <c r="D10" s="16" t="s">
        <v>104</v>
      </c>
      <c r="E10" s="8">
        <v>7</v>
      </c>
      <c r="F10" s="8" t="s">
        <v>105</v>
      </c>
      <c r="G10" s="8" t="s">
        <v>106</v>
      </c>
    </row>
    <row r="11" spans="1:7">
      <c r="A11" s="8" t="s">
        <v>107</v>
      </c>
      <c r="B11" s="17">
        <v>0</v>
      </c>
      <c r="C11" s="8" t="s">
        <v>85</v>
      </c>
      <c r="D11" s="16" t="s">
        <v>104</v>
      </c>
      <c r="E11" s="8">
        <v>7</v>
      </c>
      <c r="F11" s="8" t="s">
        <v>105</v>
      </c>
      <c r="G11" s="8" t="s">
        <v>108</v>
      </c>
    </row>
    <row r="12" spans="1:7" ht="23.85">
      <c r="A12" s="8" t="s">
        <v>109</v>
      </c>
      <c r="B12" s="18">
        <v>19</v>
      </c>
      <c r="C12" s="8" t="s">
        <v>85</v>
      </c>
      <c r="D12" s="16" t="s">
        <v>110</v>
      </c>
      <c r="E12" s="8"/>
      <c r="F12" s="8" t="s">
        <v>111</v>
      </c>
      <c r="G12" s="8" t="s">
        <v>112</v>
      </c>
    </row>
    <row r="13" spans="1:7">
      <c r="A13" s="8" t="s">
        <v>113</v>
      </c>
      <c r="B13" s="17">
        <v>0</v>
      </c>
      <c r="C13" s="8" t="s">
        <v>80</v>
      </c>
      <c r="D13" s="16" t="s">
        <v>110</v>
      </c>
      <c r="E13" s="8"/>
      <c r="F13" s="8" t="s">
        <v>114</v>
      </c>
      <c r="G13" s="8" t="s">
        <v>115</v>
      </c>
    </row>
    <row r="14" spans="1:7">
      <c r="A14" s="8" t="s">
        <v>116</v>
      </c>
      <c r="B14" s="18">
        <v>0.18</v>
      </c>
      <c r="C14" s="8" t="s">
        <v>85</v>
      </c>
      <c r="D14" s="16" t="s">
        <v>110</v>
      </c>
      <c r="E14" s="8"/>
      <c r="F14" s="8" t="s">
        <v>111</v>
      </c>
      <c r="G14" s="8" t="s">
        <v>117</v>
      </c>
    </row>
    <row r="15" spans="1:7">
      <c r="A15" s="8" t="s">
        <v>118</v>
      </c>
      <c r="B15" s="17">
        <v>20</v>
      </c>
      <c r="C15" s="8" t="s">
        <v>119</v>
      </c>
      <c r="D15" s="16" t="s">
        <v>110</v>
      </c>
      <c r="E15" s="8"/>
      <c r="F15" s="8" t="s">
        <v>90</v>
      </c>
      <c r="G15" s="8" t="s">
        <v>117</v>
      </c>
    </row>
    <row r="16" spans="1:7">
      <c r="A16" s="8" t="s">
        <v>120</v>
      </c>
      <c r="B16" s="17">
        <v>0</v>
      </c>
      <c r="C16" s="8" t="s">
        <v>80</v>
      </c>
      <c r="D16" s="16" t="s">
        <v>110</v>
      </c>
      <c r="E16" s="8"/>
      <c r="F16" s="8" t="s">
        <v>114</v>
      </c>
      <c r="G16" s="8" t="s">
        <v>115</v>
      </c>
    </row>
    <row r="17" spans="1:7">
      <c r="A17" s="8" t="s">
        <v>121</v>
      </c>
      <c r="B17" s="17">
        <v>10</v>
      </c>
      <c r="C17" s="8" t="s">
        <v>122</v>
      </c>
      <c r="D17" s="16" t="s">
        <v>110</v>
      </c>
      <c r="E17" s="8"/>
      <c r="F17" s="8" t="s">
        <v>90</v>
      </c>
      <c r="G17" s="8" t="s">
        <v>117</v>
      </c>
    </row>
    <row r="18" spans="1:7">
      <c r="A18" s="8" t="s">
        <v>123</v>
      </c>
      <c r="B18" s="18">
        <v>7.0000000000000007E-2</v>
      </c>
      <c r="C18" s="8" t="s">
        <v>124</v>
      </c>
      <c r="D18" s="16" t="s">
        <v>110</v>
      </c>
      <c r="E18" s="8"/>
      <c r="F18" s="8" t="s">
        <v>111</v>
      </c>
      <c r="G18" s="8" t="s">
        <v>117</v>
      </c>
    </row>
    <row r="19" spans="1:7" ht="23.85">
      <c r="A19" s="8" t="s">
        <v>125</v>
      </c>
      <c r="B19" s="17">
        <v>0</v>
      </c>
      <c r="C19" s="8" t="s">
        <v>126</v>
      </c>
      <c r="D19" s="16" t="s">
        <v>110</v>
      </c>
      <c r="E19" s="8"/>
      <c r="F19" s="8" t="s">
        <v>127</v>
      </c>
      <c r="G19" s="8" t="s">
        <v>128</v>
      </c>
    </row>
    <row r="20" spans="1:7">
      <c r="A20" s="8" t="s">
        <v>129</v>
      </c>
      <c r="B20" s="17">
        <v>0</v>
      </c>
      <c r="C20" s="8" t="s">
        <v>126</v>
      </c>
      <c r="D20" s="16" t="s">
        <v>110</v>
      </c>
      <c r="E20" s="8"/>
      <c r="F20" s="8" t="s">
        <v>114</v>
      </c>
      <c r="G20" s="8" t="s">
        <v>130</v>
      </c>
    </row>
  </sheetData>
  <autoFilter ref="A1:G20" xr:uid="{00000000-0009-0000-0000-000002000000}"/>
  <mergeCells count="1">
    <mergeCell ref="A1:G1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6" customWidth="1"/>
    <col min="3" max="3" width="13" customWidth="1"/>
    <col min="4" max="4" width="14" customWidth="1"/>
    <col min="5" max="5" width="16" customWidth="1"/>
    <col min="6" max="11" width="18" customWidth="1"/>
    <col min="12" max="12" width="16" customWidth="1"/>
    <col min="13" max="15" width="18" customWidth="1"/>
  </cols>
  <sheetData>
    <row r="1" spans="1:15" ht="22.15" customHeight="1">
      <c r="A1" s="7" t="s">
        <v>131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1" t="s">
        <v>132</v>
      </c>
      <c r="B3" s="11" t="s">
        <v>133</v>
      </c>
      <c r="C3" s="11" t="s">
        <v>80</v>
      </c>
      <c r="D3" s="11" t="s">
        <v>134</v>
      </c>
      <c r="E3" s="11" t="s">
        <v>135</v>
      </c>
      <c r="F3" s="11" t="s">
        <v>136</v>
      </c>
      <c r="G3" s="11" t="s">
        <v>137</v>
      </c>
      <c r="H3" s="11" t="s">
        <v>138</v>
      </c>
      <c r="I3" s="11" t="s">
        <v>139</v>
      </c>
      <c r="J3" s="11" t="s">
        <v>140</v>
      </c>
      <c r="K3" s="11" t="s">
        <v>141</v>
      </c>
      <c r="L3" s="11" t="s">
        <v>142</v>
      </c>
      <c r="M3" s="11" t="s">
        <v>143</v>
      </c>
      <c r="N3" s="11" t="s">
        <v>144</v>
      </c>
      <c r="O3" s="11" t="s">
        <v>145</v>
      </c>
    </row>
    <row r="4" spans="1:15">
      <c r="A4" s="8" t="s">
        <v>146</v>
      </c>
      <c r="B4" s="8" t="s">
        <v>14</v>
      </c>
      <c r="C4" s="14">
        <f>Assumptions!$B$4</f>
        <v>40</v>
      </c>
      <c r="D4" s="14">
        <f>ROUND(C4/2,0)</f>
        <v>20</v>
      </c>
      <c r="E4" s="14">
        <f>C4-D4</f>
        <v>20</v>
      </c>
      <c r="F4" s="12">
        <f>C4*Assumptions!$B$5</f>
        <v>800</v>
      </c>
      <c r="G4" s="14">
        <f>IF(1&lt;Assumptions!$B$7,0,C4*Assumptions!$B$8)</f>
        <v>0</v>
      </c>
      <c r="H4" s="14">
        <f>IF(G4=0,0,Assumptions!$B$10)</f>
        <v>0</v>
      </c>
      <c r="I4" s="14">
        <f>MAX(G4-H4,0)</f>
        <v>0</v>
      </c>
      <c r="J4" s="12">
        <f>I4*Assumptions!$B$9</f>
        <v>0</v>
      </c>
      <c r="K4" s="12">
        <f>IF(G4=0,0,Assumptions!$B$11)</f>
        <v>0</v>
      </c>
      <c r="L4" s="12">
        <f>Assumptions!$B$15*Assumptions!$B$14</f>
        <v>3.5999999999999996</v>
      </c>
      <c r="M4" s="12">
        <f>Assumptions!$B$18*(Assumptions!$B$16*Assumptions!$B$17+Assumptions!$B$19*Assumptions!$B$20)</f>
        <v>0</v>
      </c>
      <c r="N4" s="12">
        <f>Assumptions!$B$21+Assumptions!$B$22</f>
        <v>0</v>
      </c>
      <c r="O4" s="12">
        <f>SUM(F4,N4)+SUM(J4:M4)</f>
        <v>803.6</v>
      </c>
    </row>
    <row r="5" spans="1:15">
      <c r="A5" s="8" t="s">
        <v>147</v>
      </c>
      <c r="B5" s="8" t="s">
        <v>14</v>
      </c>
      <c r="C5" s="14">
        <f>Assumptions!$B$4</f>
        <v>40</v>
      </c>
      <c r="D5" s="14">
        <f>ROUND(C5/2,0)</f>
        <v>20</v>
      </c>
      <c r="E5" s="14">
        <f>C5-D5</f>
        <v>20</v>
      </c>
      <c r="F5" s="12">
        <f>C5*Assumptions!$B$5</f>
        <v>800</v>
      </c>
      <c r="G5" s="14">
        <f>IF(2&lt;Assumptions!$B$7,0,C5*Assumptions!$B$8)</f>
        <v>0</v>
      </c>
      <c r="H5" s="14">
        <f>IF(G5=0,0,Assumptions!$B$10)</f>
        <v>0</v>
      </c>
      <c r="I5" s="14">
        <f>MAX(G5-H5,0)</f>
        <v>0</v>
      </c>
      <c r="J5" s="12">
        <f>I5*Assumptions!$B$9</f>
        <v>0</v>
      </c>
      <c r="K5" s="12">
        <f>IF(G5=0,0,Assumptions!$B$11)</f>
        <v>0</v>
      </c>
      <c r="L5" s="12">
        <f>Assumptions!$B$15*Assumptions!$B$14</f>
        <v>3.5999999999999996</v>
      </c>
      <c r="M5" s="12">
        <f>Assumptions!$B$18*(Assumptions!$B$16*Assumptions!$B$17+Assumptions!$B$19*Assumptions!$B$20)</f>
        <v>0</v>
      </c>
      <c r="N5" s="12">
        <f>Assumptions!$B$21+Assumptions!$B$22</f>
        <v>0</v>
      </c>
      <c r="O5" s="12">
        <f>SUM(F5,N5)+SUM(J5:M5)</f>
        <v>803.6</v>
      </c>
    </row>
    <row r="6" spans="1:15">
      <c r="A6" s="8" t="s">
        <v>148</v>
      </c>
      <c r="B6" s="8" t="s">
        <v>14</v>
      </c>
      <c r="C6" s="14">
        <f>Assumptions!$B$4</f>
        <v>40</v>
      </c>
      <c r="D6" s="14">
        <f>ROUND(C6/2,0)</f>
        <v>20</v>
      </c>
      <c r="E6" s="14">
        <f>C6-D6</f>
        <v>20</v>
      </c>
      <c r="F6" s="12">
        <f>C6*Assumptions!$B$5</f>
        <v>800</v>
      </c>
      <c r="G6" s="14">
        <f>IF(3&lt;Assumptions!$B$7,0,C6*Assumptions!$B$8)</f>
        <v>0</v>
      </c>
      <c r="H6" s="14">
        <f>IF(G6=0,0,Assumptions!$B$10)</f>
        <v>0</v>
      </c>
      <c r="I6" s="14">
        <f>MAX(G6-H6,0)</f>
        <v>0</v>
      </c>
      <c r="J6" s="12">
        <f>I6*Assumptions!$B$9</f>
        <v>0</v>
      </c>
      <c r="K6" s="12">
        <f>IF(G6=0,0,Assumptions!$B$11)</f>
        <v>0</v>
      </c>
      <c r="L6" s="12">
        <f>Assumptions!$B$15*Assumptions!$B$14</f>
        <v>3.5999999999999996</v>
      </c>
      <c r="M6" s="12">
        <f>Assumptions!$B$18*(Assumptions!$B$16*Assumptions!$B$17+Assumptions!$B$19*Assumptions!$B$20)</f>
        <v>0</v>
      </c>
      <c r="N6" s="12">
        <f>Assumptions!$B$21+Assumptions!$B$22</f>
        <v>0</v>
      </c>
      <c r="O6" s="12">
        <f>SUM(F6,N6)+SUM(J6:M6)</f>
        <v>803.6</v>
      </c>
    </row>
    <row r="7" spans="1:15">
      <c r="A7" s="8" t="s">
        <v>149</v>
      </c>
      <c r="B7" s="8" t="s">
        <v>14</v>
      </c>
      <c r="C7" s="14">
        <f>Assumptions!$B$4</f>
        <v>40</v>
      </c>
      <c r="D7" s="14">
        <f>ROUND(C7/2,0)</f>
        <v>20</v>
      </c>
      <c r="E7" s="14">
        <f>C7-D7</f>
        <v>20</v>
      </c>
      <c r="F7" s="12">
        <f>C7*Assumptions!$B$5</f>
        <v>800</v>
      </c>
      <c r="G7" s="14">
        <f>IF(4&lt;Assumptions!$B$7,0,C7*Assumptions!$B$8)</f>
        <v>0</v>
      </c>
      <c r="H7" s="14">
        <f>IF(G7=0,0,Assumptions!$B$10)</f>
        <v>0</v>
      </c>
      <c r="I7" s="14">
        <f>MAX(G7-H7,0)</f>
        <v>0</v>
      </c>
      <c r="J7" s="12">
        <f>I7*Assumptions!$B$9</f>
        <v>0</v>
      </c>
      <c r="K7" s="12">
        <f>IF(G7=0,0,Assumptions!$B$11)</f>
        <v>0</v>
      </c>
      <c r="L7" s="12">
        <f>Assumptions!$B$15*Assumptions!$B$14</f>
        <v>3.5999999999999996</v>
      </c>
      <c r="M7" s="12">
        <f>Assumptions!$B$18*(Assumptions!$B$16*Assumptions!$B$17+Assumptions!$B$19*Assumptions!$B$20)</f>
        <v>0</v>
      </c>
      <c r="N7" s="12">
        <f>Assumptions!$B$21+Assumptions!$B$22</f>
        <v>0</v>
      </c>
      <c r="O7" s="12">
        <f>SUM(F7,N7)+SUM(J7:M7)</f>
        <v>803.6</v>
      </c>
    </row>
    <row r="8" spans="1:15">
      <c r="A8" s="8" t="s">
        <v>150</v>
      </c>
      <c r="B8" s="8" t="s">
        <v>14</v>
      </c>
      <c r="C8" s="14">
        <f>Assumptions!$B$4</f>
        <v>40</v>
      </c>
      <c r="D8" s="14">
        <f>ROUND(C8/2,0)</f>
        <v>20</v>
      </c>
      <c r="E8" s="14">
        <f>C8-D8</f>
        <v>20</v>
      </c>
      <c r="F8" s="12">
        <f>C8*Assumptions!$B$5</f>
        <v>800</v>
      </c>
      <c r="G8" s="14">
        <f>IF(5&lt;Assumptions!$B$7,0,C8*Assumptions!$B$8)</f>
        <v>0</v>
      </c>
      <c r="H8" s="14">
        <f>IF(G8=0,0,Assumptions!$B$10)</f>
        <v>0</v>
      </c>
      <c r="I8" s="14">
        <f>MAX(G8-H8,0)</f>
        <v>0</v>
      </c>
      <c r="J8" s="12">
        <f>I8*Assumptions!$B$9</f>
        <v>0</v>
      </c>
      <c r="K8" s="12">
        <f>IF(G8=0,0,Assumptions!$B$11)</f>
        <v>0</v>
      </c>
      <c r="L8" s="12">
        <f>Assumptions!$B$15*Assumptions!$B$14</f>
        <v>3.5999999999999996</v>
      </c>
      <c r="M8" s="12">
        <f>Assumptions!$B$18*(Assumptions!$B$16*Assumptions!$B$17+Assumptions!$B$19*Assumptions!$B$20)</f>
        <v>0</v>
      </c>
      <c r="N8" s="12">
        <f>Assumptions!$B$21+Assumptions!$B$22</f>
        <v>0</v>
      </c>
      <c r="O8" s="12">
        <f>SUM(F8,N8)+SUM(J8:M8)</f>
        <v>803.6</v>
      </c>
    </row>
    <row r="9" spans="1:15">
      <c r="A9" s="8" t="s">
        <v>151</v>
      </c>
      <c r="B9" s="8" t="s">
        <v>14</v>
      </c>
      <c r="C9" s="14">
        <f>Assumptions!$B$4</f>
        <v>40</v>
      </c>
      <c r="D9" s="14">
        <f>ROUND(C9/2,0)</f>
        <v>20</v>
      </c>
      <c r="E9" s="14">
        <f>C9-D9</f>
        <v>20</v>
      </c>
      <c r="F9" s="12">
        <f>C9*Assumptions!$B$5</f>
        <v>800</v>
      </c>
      <c r="G9" s="14">
        <f>IF(6&lt;Assumptions!$B$7,0,C9*Assumptions!$B$8)</f>
        <v>0</v>
      </c>
      <c r="H9" s="14">
        <f>IF(G9=0,0,Assumptions!$B$10)</f>
        <v>0</v>
      </c>
      <c r="I9" s="14">
        <f>MAX(G9-H9,0)</f>
        <v>0</v>
      </c>
      <c r="J9" s="12">
        <f>I9*Assumptions!$B$9</f>
        <v>0</v>
      </c>
      <c r="K9" s="12">
        <f>IF(G9=0,0,Assumptions!$B$11)</f>
        <v>0</v>
      </c>
      <c r="L9" s="12">
        <f>Assumptions!$B$15*Assumptions!$B$14</f>
        <v>3.5999999999999996</v>
      </c>
      <c r="M9" s="12">
        <f>Assumptions!$B$18*(Assumptions!$B$16*Assumptions!$B$17+Assumptions!$B$19*Assumptions!$B$20)</f>
        <v>0</v>
      </c>
      <c r="N9" s="12">
        <f>Assumptions!$B$21+Assumptions!$B$22</f>
        <v>0</v>
      </c>
      <c r="O9" s="12">
        <f>SUM(F9,N9)+SUM(J9:M9)</f>
        <v>803.6</v>
      </c>
    </row>
    <row r="10" spans="1:15">
      <c r="A10" s="8" t="s">
        <v>152</v>
      </c>
      <c r="B10" s="8" t="s">
        <v>23</v>
      </c>
      <c r="C10" s="14">
        <f>Assumptions!$B$4</f>
        <v>40</v>
      </c>
      <c r="D10" s="14">
        <f>ROUND(C10/2,0)</f>
        <v>20</v>
      </c>
      <c r="E10" s="14">
        <f>C10-D10</f>
        <v>20</v>
      </c>
      <c r="F10" s="12">
        <f>C10*Assumptions!$B$5</f>
        <v>800</v>
      </c>
      <c r="G10" s="14">
        <f>IF(7&lt;Assumptions!$B$7,0,C10*Assumptions!$B$8)</f>
        <v>20000</v>
      </c>
      <c r="H10" s="14">
        <f>IF(G10=0,0,Assumptions!$B$10)</f>
        <v>0</v>
      </c>
      <c r="I10" s="14">
        <f>MAX(G10-H10,0)</f>
        <v>20000</v>
      </c>
      <c r="J10" s="12">
        <f>I10*Assumptions!$B$9</f>
        <v>120</v>
      </c>
      <c r="K10" s="12">
        <f>IF(G10=0,0,Assumptions!$B$11)</f>
        <v>0</v>
      </c>
      <c r="L10" s="12">
        <f>Assumptions!$B$15*Assumptions!$B$14</f>
        <v>3.5999999999999996</v>
      </c>
      <c r="M10" s="12">
        <f>Assumptions!$B$18*(Assumptions!$B$16*Assumptions!$B$17+Assumptions!$B$19*Assumptions!$B$20)</f>
        <v>0</v>
      </c>
      <c r="N10" s="12">
        <f>Assumptions!$B$21+Assumptions!$B$22</f>
        <v>0</v>
      </c>
      <c r="O10" s="12">
        <f>SUM(F10,N10)+SUM(J10:M10)</f>
        <v>923.6</v>
      </c>
    </row>
    <row r="11" spans="1:15">
      <c r="A11" s="8" t="s">
        <v>153</v>
      </c>
      <c r="B11" s="8" t="s">
        <v>23</v>
      </c>
      <c r="C11" s="14">
        <f>Assumptions!$B$4</f>
        <v>40</v>
      </c>
      <c r="D11" s="14">
        <f>ROUND(C11/2,0)</f>
        <v>20</v>
      </c>
      <c r="E11" s="14">
        <f>C11-D11</f>
        <v>20</v>
      </c>
      <c r="F11" s="12">
        <f>C11*Assumptions!$B$5</f>
        <v>800</v>
      </c>
      <c r="G11" s="14">
        <f>IF(8&lt;Assumptions!$B$7,0,C11*Assumptions!$B$8)</f>
        <v>20000</v>
      </c>
      <c r="H11" s="14">
        <f>IF(G11=0,0,Assumptions!$B$10)</f>
        <v>0</v>
      </c>
      <c r="I11" s="14">
        <f>MAX(G11-H11,0)</f>
        <v>20000</v>
      </c>
      <c r="J11" s="12">
        <f>I11*Assumptions!$B$9</f>
        <v>120</v>
      </c>
      <c r="K11" s="12">
        <f>IF(G11=0,0,Assumptions!$B$11)</f>
        <v>0</v>
      </c>
      <c r="L11" s="12">
        <f>Assumptions!$B$15*Assumptions!$B$14</f>
        <v>3.5999999999999996</v>
      </c>
      <c r="M11" s="12">
        <f>Assumptions!$B$18*(Assumptions!$B$16*Assumptions!$B$17+Assumptions!$B$19*Assumptions!$B$20)</f>
        <v>0</v>
      </c>
      <c r="N11" s="12">
        <f>Assumptions!$B$21+Assumptions!$B$22</f>
        <v>0</v>
      </c>
      <c r="O11" s="12">
        <f>SUM(F11,N11)+SUM(J11:M11)</f>
        <v>923.6</v>
      </c>
    </row>
    <row r="12" spans="1:15">
      <c r="A12" s="8" t="s">
        <v>154</v>
      </c>
      <c r="B12" s="8" t="s">
        <v>23</v>
      </c>
      <c r="C12" s="14">
        <f>Assumptions!$B$4</f>
        <v>40</v>
      </c>
      <c r="D12" s="14">
        <f>ROUND(C12/2,0)</f>
        <v>20</v>
      </c>
      <c r="E12" s="14">
        <f>C12-D12</f>
        <v>20</v>
      </c>
      <c r="F12" s="12">
        <f>C12*Assumptions!$B$5</f>
        <v>800</v>
      </c>
      <c r="G12" s="14">
        <f>IF(9&lt;Assumptions!$B$7,0,C12*Assumptions!$B$8)</f>
        <v>20000</v>
      </c>
      <c r="H12" s="14">
        <f>IF(G12=0,0,Assumptions!$B$10)</f>
        <v>0</v>
      </c>
      <c r="I12" s="14">
        <f>MAX(G12-H12,0)</f>
        <v>20000</v>
      </c>
      <c r="J12" s="12">
        <f>I12*Assumptions!$B$9</f>
        <v>120</v>
      </c>
      <c r="K12" s="12">
        <f>IF(G12=0,0,Assumptions!$B$11)</f>
        <v>0</v>
      </c>
      <c r="L12" s="12">
        <f>Assumptions!$B$15*Assumptions!$B$14</f>
        <v>3.5999999999999996</v>
      </c>
      <c r="M12" s="12">
        <f>Assumptions!$B$18*(Assumptions!$B$16*Assumptions!$B$17+Assumptions!$B$19*Assumptions!$B$20)</f>
        <v>0</v>
      </c>
      <c r="N12" s="12">
        <f>Assumptions!$B$21+Assumptions!$B$22</f>
        <v>0</v>
      </c>
      <c r="O12" s="12">
        <f>SUM(F12,N12)+SUM(J12:M12)</f>
        <v>923.6</v>
      </c>
    </row>
    <row r="13" spans="1:15">
      <c r="A13" s="8" t="s">
        <v>155</v>
      </c>
      <c r="B13" s="8" t="s">
        <v>23</v>
      </c>
      <c r="C13" s="14">
        <f>Assumptions!$B$4</f>
        <v>40</v>
      </c>
      <c r="D13" s="14">
        <f>ROUND(C13/2,0)</f>
        <v>20</v>
      </c>
      <c r="E13" s="14">
        <f>C13-D13</f>
        <v>20</v>
      </c>
      <c r="F13" s="12">
        <f>C13*Assumptions!$B$5</f>
        <v>800</v>
      </c>
      <c r="G13" s="14">
        <f>IF(10&lt;Assumptions!$B$7,0,C13*Assumptions!$B$8)</f>
        <v>20000</v>
      </c>
      <c r="H13" s="14">
        <f>IF(G13=0,0,Assumptions!$B$10)</f>
        <v>0</v>
      </c>
      <c r="I13" s="14">
        <f>MAX(G13-H13,0)</f>
        <v>20000</v>
      </c>
      <c r="J13" s="12">
        <f>I13*Assumptions!$B$9</f>
        <v>120</v>
      </c>
      <c r="K13" s="12">
        <f>IF(G13=0,0,Assumptions!$B$11)</f>
        <v>0</v>
      </c>
      <c r="L13" s="12">
        <f>Assumptions!$B$15*Assumptions!$B$14</f>
        <v>3.5999999999999996</v>
      </c>
      <c r="M13" s="12">
        <f>Assumptions!$B$18*(Assumptions!$B$16*Assumptions!$B$17+Assumptions!$B$19*Assumptions!$B$20)</f>
        <v>0</v>
      </c>
      <c r="N13" s="12">
        <f>Assumptions!$B$21+Assumptions!$B$22</f>
        <v>0</v>
      </c>
      <c r="O13" s="12">
        <f>SUM(F13,N13)+SUM(J13:M13)</f>
        <v>923.6</v>
      </c>
    </row>
    <row r="14" spans="1:15">
      <c r="A14" s="8" t="s">
        <v>156</v>
      </c>
      <c r="B14" s="8" t="s">
        <v>23</v>
      </c>
      <c r="C14" s="14">
        <f>Assumptions!$B$4</f>
        <v>40</v>
      </c>
      <c r="D14" s="14">
        <f>ROUND(C14/2,0)</f>
        <v>20</v>
      </c>
      <c r="E14" s="14">
        <f>C14-D14</f>
        <v>20</v>
      </c>
      <c r="F14" s="12">
        <f>C14*Assumptions!$B$5</f>
        <v>800</v>
      </c>
      <c r="G14" s="14">
        <f>IF(11&lt;Assumptions!$B$7,0,C14*Assumptions!$B$8)</f>
        <v>20000</v>
      </c>
      <c r="H14" s="14">
        <f>IF(G14=0,0,Assumptions!$B$10)</f>
        <v>0</v>
      </c>
      <c r="I14" s="14">
        <f>MAX(G14-H14,0)</f>
        <v>20000</v>
      </c>
      <c r="J14" s="12">
        <f>I14*Assumptions!$B$9</f>
        <v>120</v>
      </c>
      <c r="K14" s="12">
        <f>IF(G14=0,0,Assumptions!$B$11)</f>
        <v>0</v>
      </c>
      <c r="L14" s="12">
        <f>Assumptions!$B$15*Assumptions!$B$14</f>
        <v>3.5999999999999996</v>
      </c>
      <c r="M14" s="12">
        <f>Assumptions!$B$18*(Assumptions!$B$16*Assumptions!$B$17+Assumptions!$B$19*Assumptions!$B$20)</f>
        <v>0</v>
      </c>
      <c r="N14" s="12">
        <f>Assumptions!$B$21+Assumptions!$B$22</f>
        <v>0</v>
      </c>
      <c r="O14" s="12">
        <f>SUM(F14,N14)+SUM(J14:M14)</f>
        <v>923.6</v>
      </c>
    </row>
    <row r="15" spans="1:15">
      <c r="A15" s="8" t="s">
        <v>157</v>
      </c>
      <c r="B15" s="8" t="s">
        <v>23</v>
      </c>
      <c r="C15" s="14">
        <f>Assumptions!$B$4</f>
        <v>40</v>
      </c>
      <c r="D15" s="14">
        <f>ROUND(C15/2,0)</f>
        <v>20</v>
      </c>
      <c r="E15" s="14">
        <f>C15-D15</f>
        <v>20</v>
      </c>
      <c r="F15" s="12">
        <f>C15*Assumptions!$B$5</f>
        <v>800</v>
      </c>
      <c r="G15" s="14">
        <f>IF(12&lt;Assumptions!$B$7,0,C15*Assumptions!$B$8)</f>
        <v>20000</v>
      </c>
      <c r="H15" s="14">
        <f>IF(G15=0,0,Assumptions!$B$10)</f>
        <v>0</v>
      </c>
      <c r="I15" s="14">
        <f>MAX(G15-H15,0)</f>
        <v>20000</v>
      </c>
      <c r="J15" s="12">
        <f>I15*Assumptions!$B$9</f>
        <v>120</v>
      </c>
      <c r="K15" s="12">
        <f>IF(G15=0,0,Assumptions!$B$11)</f>
        <v>0</v>
      </c>
      <c r="L15" s="12">
        <f>Assumptions!$B$15*Assumptions!$B$14</f>
        <v>3.5999999999999996</v>
      </c>
      <c r="M15" s="12">
        <f>Assumptions!$B$18*(Assumptions!$B$16*Assumptions!$B$17+Assumptions!$B$19*Assumptions!$B$20)</f>
        <v>0</v>
      </c>
      <c r="N15" s="12">
        <f>Assumptions!$B$21+Assumptions!$B$22</f>
        <v>0</v>
      </c>
      <c r="O15" s="12">
        <f>SUM(F15,N15)+SUM(J15:M15)</f>
        <v>923.6</v>
      </c>
    </row>
    <row r="16" spans="1: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>
      <c r="A17" s="19" t="s">
        <v>158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0">
        <f>SUM(O4:O15)</f>
        <v>10363.200000000003</v>
      </c>
    </row>
    <row r="18" spans="1:15" ht="23.85">
      <c r="A18" s="8" t="s">
        <v>159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>
        <f>SUM(F4:F15)</f>
        <v>9600</v>
      </c>
    </row>
    <row r="19" spans="1:15" ht="35.1">
      <c r="A19" s="8" t="s">
        <v>160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0">
        <f>SUM(J4:K15)</f>
        <v>720</v>
      </c>
    </row>
    <row r="20" spans="1:15" ht="46.35">
      <c r="A20" s="8" t="s">
        <v>161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0">
        <f>O4</f>
        <v>803.6</v>
      </c>
    </row>
    <row r="21" spans="1:15" ht="46.35">
      <c r="A21" s="8" t="s">
        <v>162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0">
        <f>O10</f>
        <v>923.6</v>
      </c>
    </row>
  </sheetData>
  <autoFilter ref="A1:O21" xr:uid="{00000000-0009-0000-0000-000003000000}"/>
  <mergeCells count="1">
    <mergeCell ref="A1:O1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8" customWidth="1"/>
    <col min="2" max="2" width="14" customWidth="1"/>
    <col min="3" max="3" width="16" customWidth="1"/>
    <col min="4" max="4" width="17" customWidth="1"/>
    <col min="5" max="6" width="18" customWidth="1"/>
    <col min="7" max="7" width="22" customWidth="1"/>
    <col min="8" max="8" width="18" customWidth="1"/>
    <col min="9" max="9" width="22" customWidth="1"/>
    <col min="10" max="11" width="24" customWidth="1"/>
    <col min="12" max="12" width="26" customWidth="1"/>
  </cols>
  <sheetData>
    <row r="1" spans="1:12" ht="22.15" customHeight="1">
      <c r="A1" s="7" t="s">
        <v>163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11" t="s">
        <v>164</v>
      </c>
      <c r="B3" s="11" t="s">
        <v>80</v>
      </c>
      <c r="C3" s="11" t="s">
        <v>134</v>
      </c>
      <c r="D3" s="11" t="s">
        <v>135</v>
      </c>
      <c r="E3" s="11" t="s">
        <v>165</v>
      </c>
      <c r="F3" s="11" t="s">
        <v>166</v>
      </c>
      <c r="G3" s="11" t="s">
        <v>167</v>
      </c>
      <c r="H3" s="11" t="s">
        <v>168</v>
      </c>
      <c r="I3" s="11" t="s">
        <v>169</v>
      </c>
      <c r="J3" s="11" t="s">
        <v>170</v>
      </c>
      <c r="K3" s="11" t="s">
        <v>171</v>
      </c>
      <c r="L3" s="11" t="s">
        <v>172</v>
      </c>
    </row>
    <row r="4" spans="1:12">
      <c r="A4" s="8" t="s">
        <v>173</v>
      </c>
      <c r="B4" s="17">
        <v>40</v>
      </c>
      <c r="C4" s="14">
        <f>ROUND(B4/2,0)</f>
        <v>20</v>
      </c>
      <c r="D4" s="14">
        <f>B4-C4</f>
        <v>20</v>
      </c>
      <c r="E4" s="12">
        <f>B4*Assumptions!$B$5</f>
        <v>800</v>
      </c>
      <c r="F4" s="12">
        <f>E4*12</f>
        <v>9600</v>
      </c>
      <c r="G4" s="14">
        <f>B4*Assumptions!$B$8</f>
        <v>20000</v>
      </c>
      <c r="H4" s="12">
        <f>MAX(G4-Assumptions!$B$10,0)*Assumptions!$B$9+Assumptions!$B$11</f>
        <v>120</v>
      </c>
      <c r="I4" s="12">
        <f>E4*6</f>
        <v>4800</v>
      </c>
      <c r="J4" s="12">
        <f>(E4+H4)*6</f>
        <v>5520</v>
      </c>
      <c r="K4" s="12">
        <f>I4+J4</f>
        <v>10320</v>
      </c>
      <c r="L4" s="12">
        <f>(E4+H4)*12</f>
        <v>11040</v>
      </c>
    </row>
    <row r="5" spans="1:12">
      <c r="A5" s="8" t="s">
        <v>174</v>
      </c>
      <c r="B5" s="17">
        <v>200</v>
      </c>
      <c r="C5" s="14">
        <f>ROUND(B5/2,0)</f>
        <v>100</v>
      </c>
      <c r="D5" s="14">
        <f>B5-C5</f>
        <v>100</v>
      </c>
      <c r="E5" s="12">
        <f>B5*Assumptions!$B$5</f>
        <v>4000</v>
      </c>
      <c r="F5" s="12">
        <f>E5*12</f>
        <v>48000</v>
      </c>
      <c r="G5" s="14">
        <f>B5*Assumptions!$B$8</f>
        <v>100000</v>
      </c>
      <c r="H5" s="12">
        <f>MAX(G5-Assumptions!$B$10,0)*Assumptions!$B$9+Assumptions!$B$11</f>
        <v>600</v>
      </c>
      <c r="I5" s="12">
        <f>E5*6</f>
        <v>24000</v>
      </c>
      <c r="J5" s="12">
        <f>(E5+H5)*6</f>
        <v>27600</v>
      </c>
      <c r="K5" s="12">
        <f>I5+J5</f>
        <v>51600</v>
      </c>
      <c r="L5" s="12">
        <f>(E5+H5)*12</f>
        <v>55200</v>
      </c>
    </row>
    <row r="6" spans="1:12">
      <c r="A6" s="8" t="s">
        <v>175</v>
      </c>
      <c r="B6" s="17">
        <v>400</v>
      </c>
      <c r="C6" s="14">
        <f>ROUND(B6/2,0)</f>
        <v>200</v>
      </c>
      <c r="D6" s="14">
        <f>B6-C6</f>
        <v>200</v>
      </c>
      <c r="E6" s="12">
        <f>B6*Assumptions!$B$5</f>
        <v>8000</v>
      </c>
      <c r="F6" s="12">
        <f>E6*12</f>
        <v>96000</v>
      </c>
      <c r="G6" s="14">
        <f>B6*Assumptions!$B$8</f>
        <v>200000</v>
      </c>
      <c r="H6" s="12">
        <f>MAX(G6-Assumptions!$B$10,0)*Assumptions!$B$9+Assumptions!$B$11</f>
        <v>1200</v>
      </c>
      <c r="I6" s="12">
        <f>E6*6</f>
        <v>48000</v>
      </c>
      <c r="J6" s="12">
        <f>(E6+H6)*6</f>
        <v>55200</v>
      </c>
      <c r="K6" s="12">
        <f>I6+J6</f>
        <v>103200</v>
      </c>
      <c r="L6" s="12">
        <f>(E6+H6)*12</f>
        <v>110400</v>
      </c>
    </row>
    <row r="7" spans="1:12">
      <c r="A7" s="8" t="s">
        <v>176</v>
      </c>
      <c r="B7" s="17">
        <v>800</v>
      </c>
      <c r="C7" s="14">
        <f>ROUND(B7/2,0)</f>
        <v>400</v>
      </c>
      <c r="D7" s="14">
        <f>B7-C7</f>
        <v>400</v>
      </c>
      <c r="E7" s="12">
        <f>B7*Assumptions!$B$5</f>
        <v>16000</v>
      </c>
      <c r="F7" s="12">
        <f>E7*12</f>
        <v>192000</v>
      </c>
      <c r="G7" s="14">
        <f>B7*Assumptions!$B$8</f>
        <v>400000</v>
      </c>
      <c r="H7" s="12">
        <f>MAX(G7-Assumptions!$B$10,0)*Assumptions!$B$9+Assumptions!$B$11</f>
        <v>2400</v>
      </c>
      <c r="I7" s="12">
        <f>E7*6</f>
        <v>96000</v>
      </c>
      <c r="J7" s="12">
        <f>(E7+H7)*6</f>
        <v>110400</v>
      </c>
      <c r="K7" s="12">
        <f>I7+J7</f>
        <v>206400</v>
      </c>
      <c r="L7" s="12">
        <f>(E7+H7)*12</f>
        <v>220800</v>
      </c>
    </row>
    <row r="8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5" customHeight="1">
      <c r="A10" s="6" t="s">
        <v>177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5" customHeight="1">
      <c r="A11" s="5" t="s">
        <v>178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</sheetData>
  <autoFilter ref="A1:L12" xr:uid="{00000000-0009-0000-0000-000004000000}"/>
  <mergeCells count="3">
    <mergeCell ref="A1:L1"/>
    <mergeCell ref="A10:L10"/>
    <mergeCell ref="A11:L12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5" customWidth="1"/>
    <col min="2" max="2" width="24" customWidth="1"/>
    <col min="3" max="3" width="16" customWidth="1"/>
    <col min="4" max="4" width="20" customWidth="1"/>
    <col min="5" max="5" width="44" customWidth="1"/>
    <col min="6" max="6" width="23" customWidth="1"/>
    <col min="7" max="7" width="20" customWidth="1"/>
    <col min="8" max="8" width="35" customWidth="1"/>
    <col min="9" max="9" width="24" customWidth="1"/>
    <col min="10" max="10" width="18" customWidth="1"/>
    <col min="11" max="11" width="55" customWidth="1"/>
  </cols>
  <sheetData>
    <row r="1" spans="1:11" ht="22.15" customHeight="1">
      <c r="A1" s="7" t="s">
        <v>179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3.85">
      <c r="A3" s="11" t="s">
        <v>180</v>
      </c>
      <c r="B3" s="11" t="s">
        <v>181</v>
      </c>
      <c r="C3" s="11" t="s">
        <v>182</v>
      </c>
      <c r="D3" s="11" t="s">
        <v>183</v>
      </c>
      <c r="E3" s="11" t="s">
        <v>184</v>
      </c>
      <c r="F3" s="11" t="s">
        <v>185</v>
      </c>
      <c r="G3" s="11" t="s">
        <v>186</v>
      </c>
      <c r="H3" s="11" t="s">
        <v>187</v>
      </c>
      <c r="I3" s="11" t="s">
        <v>188</v>
      </c>
      <c r="J3" s="11" t="s">
        <v>189</v>
      </c>
      <c r="K3" s="11" t="s">
        <v>78</v>
      </c>
    </row>
    <row r="4" spans="1:11" ht="23.85">
      <c r="A4" s="8" t="s">
        <v>10</v>
      </c>
      <c r="B4" s="8" t="s">
        <v>81</v>
      </c>
      <c r="C4" s="16" t="s">
        <v>81</v>
      </c>
      <c r="D4" s="12">
        <f>Assumptions!B4*Assumptions!B5</f>
        <v>800</v>
      </c>
      <c r="E4" s="8" t="s">
        <v>190</v>
      </c>
      <c r="F4" s="12">
        <f>D4</f>
        <v>800</v>
      </c>
      <c r="G4" s="8" t="s">
        <v>191</v>
      </c>
      <c r="H4" s="8" t="s">
        <v>192</v>
      </c>
      <c r="I4" s="21" t="s">
        <v>193</v>
      </c>
      <c r="J4" s="8" t="s">
        <v>194</v>
      </c>
      <c r="K4" s="8" t="s">
        <v>195</v>
      </c>
    </row>
    <row r="5" spans="1:11">
      <c r="A5" s="8" t="s">
        <v>196</v>
      </c>
      <c r="B5" s="8" t="s">
        <v>197</v>
      </c>
      <c r="C5" s="16" t="s">
        <v>110</v>
      </c>
      <c r="D5" s="12">
        <f>0</f>
        <v>0</v>
      </c>
      <c r="E5" s="8" t="s">
        <v>198</v>
      </c>
      <c r="F5" s="12">
        <f>Assumptions!B4*Assumptions!B8*Assumptions!B9+Assumptions!B11</f>
        <v>120</v>
      </c>
      <c r="G5" s="8" t="s">
        <v>152</v>
      </c>
      <c r="H5" s="8" t="s">
        <v>199</v>
      </c>
      <c r="I5" s="21">
        <f>F5</f>
        <v>120</v>
      </c>
      <c r="J5" s="8" t="s">
        <v>200</v>
      </c>
      <c r="K5" s="8" t="s">
        <v>201</v>
      </c>
    </row>
    <row r="6" spans="1:11" ht="23.85">
      <c r="A6" s="8" t="s">
        <v>202</v>
      </c>
      <c r="B6" s="8" t="s">
        <v>197</v>
      </c>
      <c r="C6" s="16" t="s">
        <v>110</v>
      </c>
      <c r="D6" s="12">
        <f>0</f>
        <v>0</v>
      </c>
      <c r="E6" s="8" t="s">
        <v>203</v>
      </c>
      <c r="F6" s="12">
        <f>Assumptions!B4*Assumptions!B14</f>
        <v>7.1999999999999993</v>
      </c>
      <c r="G6" s="8" t="s">
        <v>204</v>
      </c>
      <c r="H6" s="8" t="s">
        <v>205</v>
      </c>
      <c r="I6" s="21">
        <f>0</f>
        <v>0</v>
      </c>
      <c r="J6" s="8" t="s">
        <v>206</v>
      </c>
      <c r="K6" s="8" t="s">
        <v>207</v>
      </c>
    </row>
    <row r="7" spans="1:11" ht="23.85">
      <c r="A7" s="8" t="s">
        <v>208</v>
      </c>
      <c r="B7" s="8" t="s">
        <v>197</v>
      </c>
      <c r="C7" s="16" t="s">
        <v>110</v>
      </c>
      <c r="D7" s="12">
        <f>0</f>
        <v>0</v>
      </c>
      <c r="E7" s="8" t="s">
        <v>209</v>
      </c>
      <c r="F7" s="12">
        <f>Assumptions!B4*(Assumptions!B16*Assumptions!B17+Assumptions!B19*Assumptions!B20)</f>
        <v>0</v>
      </c>
      <c r="G7" s="8" t="s">
        <v>204</v>
      </c>
      <c r="H7" s="8" t="s">
        <v>210</v>
      </c>
      <c r="I7" s="21">
        <f>0</f>
        <v>0</v>
      </c>
      <c r="J7" s="8" t="s">
        <v>81</v>
      </c>
      <c r="K7" s="8" t="s">
        <v>211</v>
      </c>
    </row>
    <row r="8" spans="1:11" ht="23.85">
      <c r="A8" s="8" t="s">
        <v>212</v>
      </c>
      <c r="B8" s="8" t="s">
        <v>197</v>
      </c>
      <c r="C8" s="16" t="s">
        <v>110</v>
      </c>
      <c r="D8" s="12">
        <f>0</f>
        <v>0</v>
      </c>
      <c r="E8" s="8" t="s">
        <v>213</v>
      </c>
      <c r="F8" s="12">
        <f>Assumptions!B21</f>
        <v>0</v>
      </c>
      <c r="G8" s="8" t="s">
        <v>204</v>
      </c>
      <c r="H8" s="8" t="s">
        <v>214</v>
      </c>
      <c r="I8" s="21">
        <f>0</f>
        <v>0</v>
      </c>
      <c r="J8" s="8" t="s">
        <v>215</v>
      </c>
      <c r="K8" s="8" t="s">
        <v>216</v>
      </c>
    </row>
    <row r="9" spans="1:11" ht="23.85">
      <c r="A9" s="8" t="s">
        <v>217</v>
      </c>
      <c r="B9" s="8" t="s">
        <v>218</v>
      </c>
      <c r="C9" s="16" t="s">
        <v>110</v>
      </c>
      <c r="D9" s="12">
        <f>0</f>
        <v>0</v>
      </c>
      <c r="E9" s="8" t="s">
        <v>219</v>
      </c>
      <c r="F9" s="12">
        <f>Assumptions!B22</f>
        <v>0</v>
      </c>
      <c r="G9" s="8" t="s">
        <v>204</v>
      </c>
      <c r="H9" s="8" t="s">
        <v>220</v>
      </c>
      <c r="I9" s="21">
        <f>0</f>
        <v>0</v>
      </c>
      <c r="J9" s="8" t="s">
        <v>215</v>
      </c>
      <c r="K9" s="8" t="s">
        <v>221</v>
      </c>
    </row>
  </sheetData>
  <autoFilter ref="A1:K9" xr:uid="{00000000-0009-0000-0000-000005000000}"/>
  <mergeCells count="1">
    <mergeCell ref="A1:K1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2" customWidth="1"/>
    <col min="2" max="2" width="24" customWidth="1"/>
    <col min="3" max="3" width="18" customWidth="1"/>
    <col min="4" max="4" width="22" customWidth="1"/>
    <col min="5" max="5" width="31" customWidth="1"/>
    <col min="6" max="6" width="32" customWidth="1"/>
    <col min="7" max="7" width="30" customWidth="1"/>
    <col min="8" max="8" width="18" customWidth="1"/>
    <col min="9" max="9" width="38" customWidth="1"/>
    <col min="10" max="10" width="20" customWidth="1"/>
    <col min="11" max="11" width="22" customWidth="1"/>
    <col min="12" max="12" width="45" customWidth="1"/>
  </cols>
  <sheetData>
    <row r="1" spans="1:12" ht="22.15" customHeight="1">
      <c r="A1" s="7" t="s">
        <v>222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11" t="s">
        <v>223</v>
      </c>
      <c r="B3" s="11" t="s">
        <v>224</v>
      </c>
      <c r="C3" s="11" t="s">
        <v>225</v>
      </c>
      <c r="D3" s="11" t="s">
        <v>226</v>
      </c>
      <c r="E3" s="11" t="s">
        <v>227</v>
      </c>
      <c r="F3" s="11" t="s">
        <v>228</v>
      </c>
      <c r="G3" s="11" t="s">
        <v>229</v>
      </c>
      <c r="H3" s="11" t="s">
        <v>230</v>
      </c>
      <c r="I3" s="11" t="s">
        <v>231</v>
      </c>
      <c r="J3" s="11" t="s">
        <v>232</v>
      </c>
      <c r="K3" s="11" t="s">
        <v>233</v>
      </c>
      <c r="L3" s="11" t="s">
        <v>234</v>
      </c>
    </row>
    <row r="4" spans="1:12" ht="23.85">
      <c r="A4" s="8" t="s">
        <v>56</v>
      </c>
      <c r="B4" s="8" t="s">
        <v>235</v>
      </c>
      <c r="C4" s="15" t="s">
        <v>81</v>
      </c>
      <c r="D4" s="22">
        <f>Assumptions!B4*Assumptions!B5</f>
        <v>800</v>
      </c>
      <c r="E4" s="8" t="s">
        <v>236</v>
      </c>
      <c r="F4" s="8" t="s">
        <v>237</v>
      </c>
      <c r="G4" s="8" t="s">
        <v>238</v>
      </c>
      <c r="H4" s="8" t="s">
        <v>110</v>
      </c>
      <c r="I4" s="8" t="s">
        <v>239</v>
      </c>
      <c r="J4" s="8" t="s">
        <v>240</v>
      </c>
      <c r="K4" s="8" t="s">
        <v>241</v>
      </c>
      <c r="L4" s="8" t="s">
        <v>242</v>
      </c>
    </row>
    <row r="5" spans="1:12">
      <c r="A5" s="8" t="s">
        <v>8</v>
      </c>
      <c r="B5" s="8" t="s">
        <v>243</v>
      </c>
      <c r="C5" s="15" t="s">
        <v>81</v>
      </c>
      <c r="D5" s="13" t="s">
        <v>244</v>
      </c>
      <c r="E5" s="8" t="s">
        <v>245</v>
      </c>
      <c r="F5" s="8" t="s">
        <v>246</v>
      </c>
      <c r="G5" s="8" t="s">
        <v>230</v>
      </c>
      <c r="H5" s="8" t="s">
        <v>81</v>
      </c>
      <c r="I5" s="8" t="s">
        <v>247</v>
      </c>
      <c r="J5" s="8" t="s">
        <v>248</v>
      </c>
      <c r="K5" s="8" t="s">
        <v>249</v>
      </c>
      <c r="L5" s="8" t="s">
        <v>250</v>
      </c>
    </row>
    <row r="6" spans="1:12" ht="23.85">
      <c r="A6" s="8" t="s">
        <v>16</v>
      </c>
      <c r="B6" s="8" t="s">
        <v>243</v>
      </c>
      <c r="C6" s="15" t="s">
        <v>81</v>
      </c>
      <c r="D6" s="13" t="s">
        <v>244</v>
      </c>
      <c r="E6" s="8" t="s">
        <v>245</v>
      </c>
      <c r="F6" s="8" t="s">
        <v>246</v>
      </c>
      <c r="G6" s="8" t="s">
        <v>230</v>
      </c>
      <c r="H6" s="8" t="s">
        <v>81</v>
      </c>
      <c r="I6" s="8" t="s">
        <v>251</v>
      </c>
      <c r="J6" s="8" t="s">
        <v>248</v>
      </c>
      <c r="K6" s="8" t="s">
        <v>252</v>
      </c>
      <c r="L6" s="8" t="s">
        <v>250</v>
      </c>
    </row>
    <row r="7" spans="1:12">
      <c r="A7" s="8" t="s">
        <v>8</v>
      </c>
      <c r="B7" s="8" t="s">
        <v>143</v>
      </c>
      <c r="C7" s="15" t="s">
        <v>81</v>
      </c>
      <c r="D7" s="13" t="s">
        <v>31</v>
      </c>
      <c r="E7" s="8" t="s">
        <v>253</v>
      </c>
      <c r="F7" s="8" t="s">
        <v>254</v>
      </c>
      <c r="G7" s="8" t="s">
        <v>230</v>
      </c>
      <c r="H7" s="8" t="s">
        <v>81</v>
      </c>
      <c r="I7" s="8" t="s">
        <v>255</v>
      </c>
      <c r="J7" s="8" t="s">
        <v>240</v>
      </c>
      <c r="K7" s="8" t="s">
        <v>249</v>
      </c>
      <c r="L7" s="8" t="s">
        <v>256</v>
      </c>
    </row>
    <row r="8" spans="1:12">
      <c r="A8" s="8" t="s">
        <v>16</v>
      </c>
      <c r="B8" s="8" t="s">
        <v>143</v>
      </c>
      <c r="C8" s="15" t="s">
        <v>81</v>
      </c>
      <c r="D8" s="13" t="s">
        <v>31</v>
      </c>
      <c r="E8" s="8" t="s">
        <v>253</v>
      </c>
      <c r="F8" s="8" t="s">
        <v>254</v>
      </c>
      <c r="G8" s="8" t="s">
        <v>230</v>
      </c>
      <c r="H8" s="8" t="s">
        <v>81</v>
      </c>
      <c r="I8" s="8" t="s">
        <v>257</v>
      </c>
      <c r="J8" s="8" t="s">
        <v>240</v>
      </c>
      <c r="K8" s="8" t="s">
        <v>252</v>
      </c>
      <c r="L8" s="8" t="s">
        <v>256</v>
      </c>
    </row>
    <row r="9" spans="1:12">
      <c r="A9" s="8" t="s">
        <v>56</v>
      </c>
      <c r="B9" s="8" t="s">
        <v>258</v>
      </c>
      <c r="C9" s="15" t="s">
        <v>81</v>
      </c>
      <c r="D9" s="13" t="s">
        <v>31</v>
      </c>
      <c r="E9" s="8" t="s">
        <v>259</v>
      </c>
      <c r="F9" s="8" t="s">
        <v>260</v>
      </c>
      <c r="G9" s="8" t="s">
        <v>189</v>
      </c>
      <c r="H9" s="8" t="s">
        <v>81</v>
      </c>
      <c r="I9" s="8" t="s">
        <v>261</v>
      </c>
      <c r="J9" s="8" t="s">
        <v>240</v>
      </c>
      <c r="K9" s="8" t="s">
        <v>262</v>
      </c>
      <c r="L9" s="8" t="s">
        <v>263</v>
      </c>
    </row>
    <row r="10" spans="1:12">
      <c r="A10" s="8" t="s">
        <v>56</v>
      </c>
      <c r="B10" s="8" t="s">
        <v>264</v>
      </c>
      <c r="C10" s="15" t="s">
        <v>265</v>
      </c>
      <c r="D10" s="13" t="s">
        <v>31</v>
      </c>
      <c r="E10" s="8" t="s">
        <v>266</v>
      </c>
      <c r="F10" s="8" t="s">
        <v>267</v>
      </c>
      <c r="G10" s="8" t="s">
        <v>268</v>
      </c>
      <c r="H10" s="8" t="s">
        <v>215</v>
      </c>
      <c r="I10" s="8" t="s">
        <v>269</v>
      </c>
      <c r="J10" s="8" t="s">
        <v>240</v>
      </c>
      <c r="K10" s="8" t="s">
        <v>270</v>
      </c>
      <c r="L10" s="8" t="s">
        <v>271</v>
      </c>
    </row>
    <row r="11" spans="1:12">
      <c r="A11" s="8" t="s">
        <v>8</v>
      </c>
      <c r="B11" s="8" t="s">
        <v>272</v>
      </c>
      <c r="C11" s="15" t="s">
        <v>273</v>
      </c>
      <c r="D11" s="22">
        <f>MAX((Assumptions!B4/2)*Assumptions!B8-Assumptions!B10/2,0)*Assumptions!B9+Assumptions!B11/2</f>
        <v>60</v>
      </c>
      <c r="E11" s="8" t="s">
        <v>274</v>
      </c>
      <c r="F11" s="8" t="s">
        <v>275</v>
      </c>
      <c r="G11" s="8" t="s">
        <v>276</v>
      </c>
      <c r="H11" s="8" t="s">
        <v>277</v>
      </c>
      <c r="I11" s="8" t="s">
        <v>278</v>
      </c>
      <c r="J11" s="8" t="s">
        <v>279</v>
      </c>
      <c r="K11" s="8" t="s">
        <v>249</v>
      </c>
      <c r="L11" s="8" t="s">
        <v>280</v>
      </c>
    </row>
    <row r="12" spans="1:12">
      <c r="A12" s="8" t="s">
        <v>16</v>
      </c>
      <c r="B12" s="8" t="s">
        <v>272</v>
      </c>
      <c r="C12" s="15" t="s">
        <v>273</v>
      </c>
      <c r="D12" s="22">
        <f>MAX((Assumptions!B4/2)*Assumptions!B8-Assumptions!B10/2,0)*Assumptions!B9+Assumptions!B11/2</f>
        <v>60</v>
      </c>
      <c r="E12" s="8" t="s">
        <v>274</v>
      </c>
      <c r="F12" s="8" t="s">
        <v>275</v>
      </c>
      <c r="G12" s="8" t="s">
        <v>276</v>
      </c>
      <c r="H12" s="8" t="s">
        <v>277</v>
      </c>
      <c r="I12" s="8" t="s">
        <v>281</v>
      </c>
      <c r="J12" s="8" t="s">
        <v>279</v>
      </c>
      <c r="K12" s="8" t="s">
        <v>252</v>
      </c>
      <c r="L12" s="8" t="s">
        <v>280</v>
      </c>
    </row>
    <row r="14" spans="1:12" ht="31.5" customHeight="1">
      <c r="A14" s="4" t="s">
        <v>282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</sheetData>
  <autoFilter ref="A1:L12" xr:uid="{00000000-0009-0000-0000-000006000000}"/>
  <mergeCells count="2">
    <mergeCell ref="A1:L1"/>
    <mergeCell ref="A14:L14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3" customWidth="1"/>
    <col min="2" max="2" width="19" customWidth="1"/>
    <col min="3" max="3" width="25" customWidth="1"/>
    <col min="4" max="4" width="24" customWidth="1"/>
    <col min="5" max="5" width="23" customWidth="1"/>
    <col min="6" max="6" width="21" customWidth="1"/>
    <col min="7" max="7" width="42" customWidth="1"/>
    <col min="8" max="8" width="44" customWidth="1"/>
    <col min="9" max="9" width="28" customWidth="1"/>
    <col min="10" max="11" width="29" customWidth="1"/>
    <col min="12" max="12" width="18" customWidth="1"/>
    <col min="13" max="13" width="34" customWidth="1"/>
    <col min="14" max="14" width="35" customWidth="1"/>
  </cols>
  <sheetData>
    <row r="1" spans="1:14" ht="27.75" customHeight="1">
      <c r="A1" s="3" t="s">
        <v>283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>
      <c r="A2" s="2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42" customHeight="1">
      <c r="A4" s="23" t="s">
        <v>285</v>
      </c>
      <c r="B4" s="23" t="s">
        <v>286</v>
      </c>
      <c r="C4" s="23" t="s">
        <v>287</v>
      </c>
      <c r="D4" s="23" t="s">
        <v>288</v>
      </c>
      <c r="E4" s="23" t="s">
        <v>289</v>
      </c>
      <c r="F4" s="23" t="s">
        <v>290</v>
      </c>
      <c r="G4" s="23" t="s">
        <v>291</v>
      </c>
      <c r="H4" s="23" t="s">
        <v>292</v>
      </c>
      <c r="I4" s="23" t="s">
        <v>227</v>
      </c>
      <c r="J4" s="23" t="s">
        <v>228</v>
      </c>
      <c r="K4" s="23" t="s">
        <v>229</v>
      </c>
      <c r="L4" s="23" t="s">
        <v>293</v>
      </c>
      <c r="M4" s="23" t="s">
        <v>294</v>
      </c>
      <c r="N4" s="23" t="s">
        <v>295</v>
      </c>
    </row>
    <row r="5" spans="1:14" ht="103.5" customHeight="1">
      <c r="A5" s="8" t="s">
        <v>296</v>
      </c>
      <c r="B5" s="8" t="s">
        <v>297</v>
      </c>
      <c r="C5" s="13" t="s">
        <v>298</v>
      </c>
      <c r="D5" s="13" t="s">
        <v>299</v>
      </c>
      <c r="E5" s="15" t="s">
        <v>300</v>
      </c>
      <c r="F5" s="15" t="s">
        <v>301</v>
      </c>
      <c r="G5" s="8" t="s">
        <v>302</v>
      </c>
      <c r="H5" s="13" t="s">
        <v>303</v>
      </c>
      <c r="I5" s="8" t="s">
        <v>304</v>
      </c>
      <c r="J5" s="8" t="s">
        <v>305</v>
      </c>
      <c r="K5" s="8" t="s">
        <v>306</v>
      </c>
      <c r="L5" s="15" t="s">
        <v>307</v>
      </c>
      <c r="M5" s="8" t="s">
        <v>239</v>
      </c>
      <c r="N5" s="24" t="s">
        <v>308</v>
      </c>
    </row>
    <row r="6" spans="1:14" ht="115.5" customHeight="1">
      <c r="A6" s="8" t="s">
        <v>309</v>
      </c>
      <c r="B6" s="8" t="s">
        <v>310</v>
      </c>
      <c r="C6" s="13" t="s">
        <v>311</v>
      </c>
      <c r="D6" s="13" t="s">
        <v>312</v>
      </c>
      <c r="E6" s="15" t="s">
        <v>313</v>
      </c>
      <c r="F6" s="15" t="s">
        <v>314</v>
      </c>
      <c r="G6" s="8" t="s">
        <v>315</v>
      </c>
      <c r="H6" s="13" t="s">
        <v>316</v>
      </c>
      <c r="I6" s="8" t="s">
        <v>317</v>
      </c>
      <c r="J6" s="8" t="s">
        <v>318</v>
      </c>
      <c r="K6" s="8" t="s">
        <v>319</v>
      </c>
      <c r="L6" s="15" t="s">
        <v>320</v>
      </c>
      <c r="M6" s="8" t="s">
        <v>321</v>
      </c>
      <c r="N6" s="24" t="s">
        <v>322</v>
      </c>
    </row>
    <row r="7" spans="1:14" ht="115.5" customHeight="1">
      <c r="A7" s="8" t="s">
        <v>323</v>
      </c>
      <c r="B7" s="8" t="s">
        <v>310</v>
      </c>
      <c r="C7" s="13" t="s">
        <v>311</v>
      </c>
      <c r="D7" s="13" t="s">
        <v>312</v>
      </c>
      <c r="E7" s="15" t="s">
        <v>313</v>
      </c>
      <c r="F7" s="15" t="s">
        <v>324</v>
      </c>
      <c r="G7" s="8" t="s">
        <v>325</v>
      </c>
      <c r="H7" s="13" t="s">
        <v>326</v>
      </c>
      <c r="I7" s="8" t="s">
        <v>317</v>
      </c>
      <c r="J7" s="8" t="s">
        <v>318</v>
      </c>
      <c r="K7" s="8" t="s">
        <v>319</v>
      </c>
      <c r="L7" s="15" t="s">
        <v>320</v>
      </c>
      <c r="M7" s="8" t="s">
        <v>327</v>
      </c>
      <c r="N7" s="24" t="s">
        <v>322</v>
      </c>
    </row>
    <row r="8" spans="1:14" ht="115.5" customHeight="1">
      <c r="A8" s="8" t="s">
        <v>328</v>
      </c>
      <c r="B8" s="8" t="s">
        <v>115</v>
      </c>
      <c r="C8" s="13" t="s">
        <v>329</v>
      </c>
      <c r="D8" s="13" t="s">
        <v>330</v>
      </c>
      <c r="E8" s="15" t="s">
        <v>331</v>
      </c>
      <c r="F8" s="15" t="s">
        <v>314</v>
      </c>
      <c r="G8" s="8" t="s">
        <v>315</v>
      </c>
      <c r="H8" s="13" t="s">
        <v>332</v>
      </c>
      <c r="I8" s="8" t="s">
        <v>333</v>
      </c>
      <c r="J8" s="8" t="s">
        <v>334</v>
      </c>
      <c r="K8" s="8" t="s">
        <v>335</v>
      </c>
      <c r="L8" s="15" t="s">
        <v>336</v>
      </c>
      <c r="M8" s="8" t="s">
        <v>337</v>
      </c>
      <c r="N8" s="24" t="s">
        <v>322</v>
      </c>
    </row>
    <row r="9" spans="1:14" ht="115.5" customHeight="1">
      <c r="A9" s="8" t="s">
        <v>338</v>
      </c>
      <c r="B9" s="8" t="s">
        <v>115</v>
      </c>
      <c r="C9" s="13" t="s">
        <v>329</v>
      </c>
      <c r="D9" s="13" t="s">
        <v>330</v>
      </c>
      <c r="E9" s="15" t="s">
        <v>331</v>
      </c>
      <c r="F9" s="15" t="s">
        <v>324</v>
      </c>
      <c r="G9" s="8" t="s">
        <v>325</v>
      </c>
      <c r="H9" s="13" t="s">
        <v>339</v>
      </c>
      <c r="I9" s="8" t="s">
        <v>333</v>
      </c>
      <c r="J9" s="8" t="s">
        <v>334</v>
      </c>
      <c r="K9" s="8" t="s">
        <v>335</v>
      </c>
      <c r="L9" s="15" t="s">
        <v>336</v>
      </c>
      <c r="M9" s="8" t="s">
        <v>340</v>
      </c>
      <c r="N9" s="24" t="s">
        <v>322</v>
      </c>
    </row>
    <row r="10" spans="1:14" ht="115.5" customHeight="1">
      <c r="A10" s="8" t="s">
        <v>341</v>
      </c>
      <c r="B10" s="8" t="s">
        <v>342</v>
      </c>
      <c r="C10" s="13" t="s">
        <v>343</v>
      </c>
      <c r="D10" s="13" t="s">
        <v>344</v>
      </c>
      <c r="E10" s="15" t="s">
        <v>345</v>
      </c>
      <c r="F10" s="15" t="s">
        <v>346</v>
      </c>
      <c r="G10" s="8" t="s">
        <v>302</v>
      </c>
      <c r="H10" s="13" t="s">
        <v>347</v>
      </c>
      <c r="I10" s="8" t="s">
        <v>348</v>
      </c>
      <c r="J10" s="8" t="s">
        <v>349</v>
      </c>
      <c r="K10" s="8" t="s">
        <v>350</v>
      </c>
      <c r="L10" s="15" t="s">
        <v>351</v>
      </c>
      <c r="M10" s="8" t="s">
        <v>352</v>
      </c>
      <c r="N10" s="24" t="s">
        <v>308</v>
      </c>
    </row>
    <row r="11" spans="1:14" ht="115.5" customHeight="1">
      <c r="A11" s="8" t="s">
        <v>258</v>
      </c>
      <c r="B11" s="8" t="s">
        <v>115</v>
      </c>
      <c r="C11" s="13" t="s">
        <v>353</v>
      </c>
      <c r="D11" s="13" t="s">
        <v>354</v>
      </c>
      <c r="E11" s="15" t="s">
        <v>355</v>
      </c>
      <c r="F11" s="15" t="s">
        <v>356</v>
      </c>
      <c r="G11" s="8" t="s">
        <v>302</v>
      </c>
      <c r="H11" s="13" t="s">
        <v>357</v>
      </c>
      <c r="I11" s="8" t="s">
        <v>358</v>
      </c>
      <c r="J11" s="8" t="s">
        <v>359</v>
      </c>
      <c r="K11" s="8" t="s">
        <v>360</v>
      </c>
      <c r="L11" s="15" t="s">
        <v>361</v>
      </c>
      <c r="M11" s="8" t="s">
        <v>352</v>
      </c>
      <c r="N11" s="24" t="s">
        <v>362</v>
      </c>
    </row>
    <row r="12" spans="1:14" ht="115.5" customHeight="1">
      <c r="A12" s="8" t="s">
        <v>212</v>
      </c>
      <c r="B12" s="8" t="s">
        <v>115</v>
      </c>
      <c r="C12" s="13" t="s">
        <v>363</v>
      </c>
      <c r="D12" s="13" t="s">
        <v>364</v>
      </c>
      <c r="E12" s="15" t="s">
        <v>365</v>
      </c>
      <c r="F12" s="15" t="s">
        <v>366</v>
      </c>
      <c r="G12" s="8" t="s">
        <v>302</v>
      </c>
      <c r="H12" s="13" t="s">
        <v>367</v>
      </c>
      <c r="I12" s="8" t="s">
        <v>368</v>
      </c>
      <c r="J12" s="8" t="s">
        <v>369</v>
      </c>
      <c r="K12" s="8" t="s">
        <v>370</v>
      </c>
      <c r="L12" s="15" t="s">
        <v>371</v>
      </c>
      <c r="M12" s="8" t="s">
        <v>372</v>
      </c>
      <c r="N12" s="24" t="s">
        <v>308</v>
      </c>
    </row>
    <row r="13" spans="1:14" ht="115.5" customHeight="1">
      <c r="A13" s="8" t="s">
        <v>373</v>
      </c>
      <c r="B13" s="8" t="s">
        <v>115</v>
      </c>
      <c r="C13" s="13" t="s">
        <v>374</v>
      </c>
      <c r="D13" s="13" t="s">
        <v>375</v>
      </c>
      <c r="E13" s="15" t="s">
        <v>376</v>
      </c>
      <c r="F13" s="15" t="s">
        <v>377</v>
      </c>
      <c r="G13" s="8" t="s">
        <v>302</v>
      </c>
      <c r="H13" s="13" t="s">
        <v>378</v>
      </c>
      <c r="I13" s="8" t="s">
        <v>379</v>
      </c>
      <c r="J13" s="8" t="s">
        <v>380</v>
      </c>
      <c r="K13" s="8" t="s">
        <v>381</v>
      </c>
      <c r="L13" s="15" t="s">
        <v>382</v>
      </c>
      <c r="M13" s="8" t="s">
        <v>372</v>
      </c>
      <c r="N13" s="24" t="s">
        <v>322</v>
      </c>
    </row>
    <row r="14" spans="1:14" ht="103.5" customHeight="1">
      <c r="A14" s="8" t="s">
        <v>383</v>
      </c>
      <c r="B14" s="8" t="s">
        <v>384</v>
      </c>
      <c r="C14" s="13" t="s">
        <v>385</v>
      </c>
      <c r="D14" s="13" t="s">
        <v>386</v>
      </c>
      <c r="E14" s="15" t="s">
        <v>383</v>
      </c>
      <c r="F14" s="15" t="s">
        <v>387</v>
      </c>
      <c r="G14" s="8" t="s">
        <v>388</v>
      </c>
      <c r="H14" s="13" t="s">
        <v>389</v>
      </c>
      <c r="I14" s="8" t="s">
        <v>390</v>
      </c>
      <c r="J14" s="8" t="s">
        <v>391</v>
      </c>
      <c r="K14" s="8" t="s">
        <v>392</v>
      </c>
      <c r="L14" s="15" t="s">
        <v>393</v>
      </c>
      <c r="M14" s="8" t="s">
        <v>394</v>
      </c>
      <c r="N14" s="24" t="s">
        <v>308</v>
      </c>
    </row>
    <row r="16" spans="1:14">
      <c r="A16" s="26" t="s">
        <v>395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4" ht="33.75" customHeight="1">
      <c r="A17" s="25" t="s">
        <v>396</v>
      </c>
      <c r="B17" s="1" t="s">
        <v>397</v>
      </c>
      <c r="C17" s="1"/>
      <c r="D17" s="1"/>
      <c r="E17" s="5" t="s">
        <v>398</v>
      </c>
      <c r="F17" s="5"/>
      <c r="G17" s="5"/>
      <c r="H17" s="5"/>
      <c r="I17" s="5"/>
      <c r="J17" s="5"/>
      <c r="K17" s="5"/>
      <c r="L17" s="5"/>
      <c r="M17" s="5"/>
      <c r="N17" s="5"/>
    </row>
    <row r="18" spans="1:14" ht="33.75" customHeight="1">
      <c r="A18" s="25" t="s">
        <v>399</v>
      </c>
      <c r="B18" s="1" t="s">
        <v>400</v>
      </c>
      <c r="C18" s="1"/>
      <c r="D18" s="1"/>
      <c r="E18" s="5" t="s">
        <v>401</v>
      </c>
      <c r="F18" s="5"/>
      <c r="G18" s="5"/>
      <c r="H18" s="5"/>
      <c r="I18" s="5"/>
      <c r="J18" s="5"/>
      <c r="K18" s="5"/>
      <c r="L18" s="5"/>
      <c r="M18" s="5"/>
      <c r="N18" s="5"/>
    </row>
    <row r="19" spans="1:14" ht="33.75" customHeight="1">
      <c r="A19" s="25" t="s">
        <v>402</v>
      </c>
      <c r="B19" s="1" t="s">
        <v>403</v>
      </c>
      <c r="C19" s="1"/>
      <c r="D19" s="1"/>
      <c r="E19" s="5" t="s">
        <v>404</v>
      </c>
      <c r="F19" s="5"/>
      <c r="G19" s="5"/>
      <c r="H19" s="5"/>
      <c r="I19" s="5"/>
      <c r="J19" s="5"/>
      <c r="K19" s="5"/>
      <c r="L19" s="5"/>
      <c r="M19" s="5"/>
      <c r="N19" s="5"/>
    </row>
    <row r="20" spans="1:14" ht="33.75" customHeight="1">
      <c r="A20" s="25" t="s">
        <v>405</v>
      </c>
      <c r="B20" s="1" t="s">
        <v>406</v>
      </c>
      <c r="C20" s="1"/>
      <c r="D20" s="1"/>
      <c r="E20" s="5" t="s">
        <v>407</v>
      </c>
      <c r="F20" s="5"/>
      <c r="G20" s="5"/>
      <c r="H20" s="5"/>
      <c r="I20" s="5"/>
      <c r="J20" s="5"/>
      <c r="K20" s="5"/>
      <c r="L20" s="5"/>
      <c r="M20" s="5"/>
      <c r="N20" s="5"/>
    </row>
    <row r="21" spans="1:14" ht="33.75" customHeight="1">
      <c r="A21" s="25" t="s">
        <v>408</v>
      </c>
      <c r="B21" s="1" t="s">
        <v>409</v>
      </c>
      <c r="C21" s="1"/>
      <c r="D21" s="1"/>
      <c r="E21" s="5" t="s">
        <v>410</v>
      </c>
      <c r="F21" s="5"/>
      <c r="G21" s="5"/>
      <c r="H21" s="5"/>
      <c r="I21" s="5"/>
      <c r="J21" s="5"/>
      <c r="K21" s="5"/>
      <c r="L21" s="5"/>
      <c r="M21" s="5"/>
      <c r="N21" s="5"/>
    </row>
    <row r="22" spans="1:14" ht="33.75" customHeight="1">
      <c r="A22" s="25" t="s">
        <v>411</v>
      </c>
      <c r="B22" s="1" t="s">
        <v>412</v>
      </c>
      <c r="C22" s="1"/>
      <c r="D22" s="1"/>
      <c r="E22" s="5" t="s">
        <v>413</v>
      </c>
      <c r="F22" s="5"/>
      <c r="G22" s="5"/>
      <c r="H22" s="5"/>
      <c r="I22" s="5"/>
      <c r="J22" s="5"/>
      <c r="K22" s="5"/>
      <c r="L22" s="5"/>
      <c r="M22" s="5"/>
      <c r="N22" s="5"/>
    </row>
    <row r="23" spans="1:14" ht="33.75" customHeight="1">
      <c r="A23" s="25" t="s">
        <v>414</v>
      </c>
      <c r="B23" s="1" t="s">
        <v>415</v>
      </c>
      <c r="C23" s="1"/>
      <c r="D23" s="1"/>
      <c r="E23" s="5" t="s">
        <v>416</v>
      </c>
      <c r="F23" s="5"/>
      <c r="G23" s="5"/>
      <c r="H23" s="5"/>
      <c r="I23" s="5"/>
      <c r="J23" s="5"/>
      <c r="K23" s="5"/>
      <c r="L23" s="5"/>
      <c r="M23" s="5"/>
      <c r="N23" s="5"/>
    </row>
    <row r="24" spans="1:14" ht="33.75" customHeight="1">
      <c r="A24" s="25" t="s">
        <v>417</v>
      </c>
      <c r="B24" s="1" t="s">
        <v>418</v>
      </c>
      <c r="C24" s="1"/>
      <c r="D24" s="1"/>
      <c r="E24" s="5" t="s">
        <v>419</v>
      </c>
      <c r="F24" s="5"/>
      <c r="G24" s="5"/>
      <c r="H24" s="5"/>
      <c r="I24" s="5"/>
      <c r="J24" s="5"/>
      <c r="K24" s="5"/>
      <c r="L24" s="5"/>
      <c r="M24" s="5"/>
      <c r="N24" s="5"/>
    </row>
    <row r="25" spans="1:14" ht="33.75" customHeight="1">
      <c r="A25" s="25" t="s">
        <v>420</v>
      </c>
      <c r="B25" s="1" t="s">
        <v>421</v>
      </c>
      <c r="C25" s="1"/>
      <c r="D25" s="1"/>
      <c r="E25" s="5" t="s">
        <v>422</v>
      </c>
      <c r="F25" s="5"/>
      <c r="G25" s="5"/>
      <c r="H25" s="5"/>
      <c r="I25" s="5"/>
      <c r="J25" s="5"/>
      <c r="K25" s="5"/>
      <c r="L25" s="5"/>
      <c r="M25" s="5"/>
      <c r="N25" s="5"/>
    </row>
    <row r="26" spans="1:14" ht="33.75" customHeight="1">
      <c r="A26" s="25" t="s">
        <v>423</v>
      </c>
      <c r="B26" s="1" t="s">
        <v>424</v>
      </c>
      <c r="C26" s="1"/>
      <c r="D26" s="1"/>
      <c r="E26" s="5" t="s">
        <v>425</v>
      </c>
      <c r="F26" s="5"/>
      <c r="G26" s="5"/>
      <c r="H26" s="5"/>
      <c r="I26" s="5"/>
      <c r="J26" s="5"/>
      <c r="K26" s="5"/>
      <c r="L26" s="5"/>
      <c r="M26" s="5"/>
      <c r="N26" s="5"/>
    </row>
    <row r="27" spans="1:14" ht="33.75" customHeight="1">
      <c r="A27" s="25" t="s">
        <v>426</v>
      </c>
      <c r="B27" s="1" t="s">
        <v>427</v>
      </c>
      <c r="C27" s="1"/>
      <c r="D27" s="1"/>
      <c r="E27" s="5" t="s">
        <v>428</v>
      </c>
      <c r="F27" s="5"/>
      <c r="G27" s="5"/>
      <c r="H27" s="5"/>
      <c r="I27" s="5"/>
      <c r="J27" s="5"/>
      <c r="K27" s="5"/>
      <c r="L27" s="5"/>
      <c r="M27" s="5"/>
      <c r="N27" s="5"/>
    </row>
    <row r="28" spans="1:14" ht="33.75" customHeight="1">
      <c r="A28" s="25" t="s">
        <v>429</v>
      </c>
      <c r="B28" s="1" t="s">
        <v>430</v>
      </c>
      <c r="C28" s="1"/>
      <c r="D28" s="1"/>
      <c r="E28" s="5" t="s">
        <v>431</v>
      </c>
      <c r="F28" s="5"/>
      <c r="G28" s="5"/>
      <c r="H28" s="5"/>
      <c r="I28" s="5"/>
      <c r="J28" s="5"/>
      <c r="K28" s="5"/>
      <c r="L28" s="5"/>
      <c r="M28" s="5"/>
      <c r="N28" s="5"/>
    </row>
    <row r="30" spans="1:14">
      <c r="A30" s="27" t="s">
        <v>432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1:14" ht="30" customHeight="1">
      <c r="A31" s="5" t="s">
        <v>433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30" customHeight="1">
      <c r="A32" s="5" t="s">
        <v>434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ht="30" customHeight="1">
      <c r="A33" s="5" t="s">
        <v>435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ht="30" customHeight="1">
      <c r="A34" s="5" t="s">
        <v>436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30" customHeight="1">
      <c r="A35" s="5" t="s">
        <v>437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</sheetData>
  <autoFilter ref="A4:N14" xr:uid="{00000000-0009-0000-0000-000007000000}"/>
  <mergeCells count="33">
    <mergeCell ref="A31:N31"/>
    <mergeCell ref="A32:N32"/>
    <mergeCell ref="A33:N33"/>
    <mergeCell ref="A34:N34"/>
    <mergeCell ref="A35:N35"/>
    <mergeCell ref="B27:D27"/>
    <mergeCell ref="E27:N27"/>
    <mergeCell ref="B28:D28"/>
    <mergeCell ref="E28:N28"/>
    <mergeCell ref="A30:N30"/>
    <mergeCell ref="B24:D24"/>
    <mergeCell ref="E24:N24"/>
    <mergeCell ref="B25:D25"/>
    <mergeCell ref="E25:N25"/>
    <mergeCell ref="B26:D26"/>
    <mergeCell ref="E26:N26"/>
    <mergeCell ref="B21:D21"/>
    <mergeCell ref="E21:N21"/>
    <mergeCell ref="B22:D22"/>
    <mergeCell ref="E22:N22"/>
    <mergeCell ref="B23:D23"/>
    <mergeCell ref="E23:N23"/>
    <mergeCell ref="B18:D18"/>
    <mergeCell ref="E18:N18"/>
    <mergeCell ref="B19:D19"/>
    <mergeCell ref="E19:N19"/>
    <mergeCell ref="B20:D20"/>
    <mergeCell ref="E20:N20"/>
    <mergeCell ref="A1:N1"/>
    <mergeCell ref="A2:N2"/>
    <mergeCell ref="A16:N16"/>
    <mergeCell ref="B17:D17"/>
    <mergeCell ref="E17:N17"/>
  </mergeCells>
  <pageMargins left="0.75" right="0.75" top="1" bottom="1" header="0.511811023622047" footer="0.511811023622047"/>
  <pageSetup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9" customWidth="1"/>
    <col min="2" max="2" width="22" customWidth="1"/>
    <col min="3" max="3" width="34" customWidth="1"/>
    <col min="4" max="4" width="50" customWidth="1"/>
    <col min="5" max="5" width="25" customWidth="1"/>
    <col min="6" max="6" width="14" customWidth="1"/>
    <col min="7" max="7" width="38" customWidth="1"/>
    <col min="8" max="8" width="25" customWidth="1"/>
    <col min="9" max="9" width="35" customWidth="1"/>
  </cols>
  <sheetData>
    <row r="1" spans="1:9" ht="22.15" customHeight="1">
      <c r="A1" s="7" t="s">
        <v>438</v>
      </c>
      <c r="B1" s="7"/>
      <c r="C1" s="7"/>
      <c r="D1" s="7"/>
      <c r="E1" s="7"/>
      <c r="F1" s="7"/>
      <c r="G1" s="7"/>
      <c r="H1" s="7"/>
      <c r="I1" s="7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11" t="s">
        <v>439</v>
      </c>
      <c r="B3" s="11" t="s">
        <v>440</v>
      </c>
      <c r="C3" s="11" t="s">
        <v>441</v>
      </c>
      <c r="D3" s="11" t="s">
        <v>442</v>
      </c>
      <c r="E3" s="11" t="s">
        <v>233</v>
      </c>
      <c r="F3" s="11" t="s">
        <v>443</v>
      </c>
      <c r="G3" s="11" t="s">
        <v>444</v>
      </c>
      <c r="H3" s="11" t="s">
        <v>445</v>
      </c>
      <c r="I3" s="11" t="s">
        <v>78</v>
      </c>
    </row>
    <row r="4" spans="1:9">
      <c r="A4" s="8" t="s">
        <v>446</v>
      </c>
      <c r="B4" s="8" t="s">
        <v>447</v>
      </c>
      <c r="C4" s="8" t="s">
        <v>448</v>
      </c>
      <c r="D4" s="8" t="s">
        <v>449</v>
      </c>
      <c r="E4" s="8" t="s">
        <v>450</v>
      </c>
      <c r="F4" s="13" t="s">
        <v>451</v>
      </c>
      <c r="G4" s="8" t="s">
        <v>452</v>
      </c>
      <c r="H4" s="8"/>
      <c r="I4" s="8"/>
    </row>
    <row r="5" spans="1:9">
      <c r="A5" s="8" t="s">
        <v>453</v>
      </c>
      <c r="B5" s="8" t="s">
        <v>447</v>
      </c>
      <c r="C5" s="8" t="s">
        <v>454</v>
      </c>
      <c r="D5" s="8" t="s">
        <v>455</v>
      </c>
      <c r="E5" s="8" t="s">
        <v>456</v>
      </c>
      <c r="F5" s="13" t="s">
        <v>451</v>
      </c>
      <c r="G5" s="8" t="s">
        <v>457</v>
      </c>
      <c r="H5" s="8"/>
      <c r="I5" s="8"/>
    </row>
    <row r="6" spans="1:9" ht="23.85">
      <c r="A6" s="8" t="s">
        <v>458</v>
      </c>
      <c r="B6" s="8" t="s">
        <v>447</v>
      </c>
      <c r="C6" s="8" t="s">
        <v>459</v>
      </c>
      <c r="D6" s="8" t="s">
        <v>460</v>
      </c>
      <c r="E6" s="8" t="s">
        <v>461</v>
      </c>
      <c r="F6" s="13" t="s">
        <v>451</v>
      </c>
      <c r="G6" s="8" t="s">
        <v>462</v>
      </c>
      <c r="H6" s="8"/>
      <c r="I6" s="8"/>
    </row>
    <row r="7" spans="1:9" ht="23.85">
      <c r="A7" s="8" t="s">
        <v>463</v>
      </c>
      <c r="B7" s="8" t="s">
        <v>464</v>
      </c>
      <c r="C7" s="8" t="s">
        <v>465</v>
      </c>
      <c r="D7" s="8" t="s">
        <v>466</v>
      </c>
      <c r="E7" s="8" t="s">
        <v>456</v>
      </c>
      <c r="F7" s="13" t="s">
        <v>451</v>
      </c>
      <c r="G7" s="8" t="s">
        <v>467</v>
      </c>
      <c r="H7" s="8"/>
      <c r="I7" s="8"/>
    </row>
    <row r="8" spans="1:9" ht="23.85">
      <c r="A8" s="8" t="s">
        <v>468</v>
      </c>
      <c r="B8" s="8" t="s">
        <v>464</v>
      </c>
      <c r="C8" s="8" t="s">
        <v>469</v>
      </c>
      <c r="D8" s="8" t="s">
        <v>470</v>
      </c>
      <c r="E8" s="8" t="s">
        <v>471</v>
      </c>
      <c r="F8" s="13" t="s">
        <v>451</v>
      </c>
      <c r="G8" s="8" t="s">
        <v>472</v>
      </c>
      <c r="H8" s="8"/>
      <c r="I8" s="8"/>
    </row>
    <row r="9" spans="1:9">
      <c r="A9" s="8" t="s">
        <v>473</v>
      </c>
      <c r="B9" s="8" t="s">
        <v>474</v>
      </c>
      <c r="C9" s="8" t="s">
        <v>475</v>
      </c>
      <c r="D9" s="8" t="s">
        <v>476</v>
      </c>
      <c r="E9" s="8" t="s">
        <v>477</v>
      </c>
      <c r="F9" s="13" t="s">
        <v>451</v>
      </c>
      <c r="G9" s="8" t="s">
        <v>478</v>
      </c>
      <c r="H9" s="8"/>
      <c r="I9" s="8"/>
    </row>
    <row r="10" spans="1:9">
      <c r="A10" s="8" t="s">
        <v>479</v>
      </c>
      <c r="B10" s="8" t="s">
        <v>240</v>
      </c>
      <c r="C10" s="8" t="s">
        <v>480</v>
      </c>
      <c r="D10" s="8" t="s">
        <v>481</v>
      </c>
      <c r="E10" s="8" t="s">
        <v>241</v>
      </c>
      <c r="F10" s="13" t="s">
        <v>451</v>
      </c>
      <c r="G10" s="8" t="s">
        <v>482</v>
      </c>
      <c r="H10" s="8"/>
      <c r="I10" s="8"/>
    </row>
    <row r="11" spans="1:9" ht="23.85">
      <c r="A11" s="8" t="s">
        <v>483</v>
      </c>
      <c r="B11" s="8" t="s">
        <v>150</v>
      </c>
      <c r="C11" s="8" t="s">
        <v>484</v>
      </c>
      <c r="D11" s="8" t="s">
        <v>485</v>
      </c>
      <c r="E11" s="8" t="s">
        <v>270</v>
      </c>
      <c r="F11" s="13" t="s">
        <v>451</v>
      </c>
      <c r="G11" s="8" t="s">
        <v>486</v>
      </c>
      <c r="H11" s="8"/>
      <c r="I11" s="8"/>
    </row>
    <row r="12" spans="1:9" ht="23.85">
      <c r="A12" s="8" t="s">
        <v>487</v>
      </c>
      <c r="B12" s="8" t="s">
        <v>151</v>
      </c>
      <c r="C12" s="8" t="s">
        <v>488</v>
      </c>
      <c r="D12" s="8" t="s">
        <v>489</v>
      </c>
      <c r="E12" s="8" t="s">
        <v>490</v>
      </c>
      <c r="F12" s="13" t="s">
        <v>451</v>
      </c>
      <c r="G12" s="8" t="s">
        <v>491</v>
      </c>
      <c r="H12" s="8"/>
      <c r="I12" s="8"/>
    </row>
    <row r="13" spans="1:9">
      <c r="A13" s="8" t="s">
        <v>423</v>
      </c>
      <c r="B13" s="8" t="s">
        <v>492</v>
      </c>
      <c r="C13" s="8" t="s">
        <v>493</v>
      </c>
      <c r="D13" s="8" t="s">
        <v>494</v>
      </c>
      <c r="E13" s="8" t="s">
        <v>495</v>
      </c>
      <c r="F13" s="13" t="s">
        <v>451</v>
      </c>
      <c r="G13" s="8" t="s">
        <v>496</v>
      </c>
      <c r="H13" s="8"/>
      <c r="I13" s="8"/>
    </row>
  </sheetData>
  <autoFilter ref="A1:I13" xr:uid="{00000000-0009-0000-0000-000008000000}"/>
  <mergeCells count="1">
    <mergeCell ref="A1:I1"/>
  </mergeCells>
  <pageMargins left="0.75" right="0.75" top="1" bottom="1" header="0.511811023622047" footer="0.5"/>
  <pageSetup paperSize="9" orientation="portrait" horizontalDpi="300" verticalDpi="300"/>
  <headerFooter>
    <oddFooter>&amp;L&amp;"Aptos,Regular"&amp;7 _x005F_x000d_# C2 General</oddFooter>
  </headerFooter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Vamsi Dangeti, Vodafone</dc:creator>
  <cp:keywords/>
  <dc:description/>
  <cp:lastModifiedBy/>
  <cp:revision>0</cp:revision>
  <dcterms:created xsi:type="dcterms:W3CDTF">2026-09-08T21:08:57Z</dcterms:created>
  <dcterms:modified xsi:type="dcterms:W3CDTF">2026-09-08T21:14:59Z</dcterms:modified>
  <cp:category/>
  <cp:contentStatus/>
</cp:coreProperties>
</file>